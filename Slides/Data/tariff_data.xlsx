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yaleedu.sharepoint.com/sites/BudgetLab/Shared Documents/Website Content/Topics/Trade/2026 01 January 19 Tariff Update/"/>
    </mc:Choice>
  </mc:AlternateContent>
  <xr:revisionPtr revIDLastSave="0" documentId="8_{4350E4BC-4A4E-4212-A3D2-0DD45A90D063}" xr6:coauthVersionLast="47" xr6:coauthVersionMax="47" xr10:uidLastSave="{00000000-0000-0000-0000-000000000000}"/>
  <bookViews>
    <workbookView xWindow="-43305" yWindow="0" windowWidth="14610" windowHeight="15585" firstSheet="7" xr2:uid="{00000000-000D-0000-FFFF-FFFF00000000}"/>
  </bookViews>
  <sheets>
    <sheet name="Data TOC" sheetId="6" r:id="rId1"/>
    <sheet name="Policy Summary" sheetId="19" r:id="rId2"/>
    <sheet name="T1" sheetId="18" r:id="rId3"/>
    <sheet name="T2" sheetId="2" r:id="rId4"/>
    <sheet name="F1" sheetId="14" r:id="rId5"/>
    <sheet name="F2" sheetId="8" r:id="rId6"/>
    <sheet name="F3" sheetId="15" r:id="rId7"/>
    <sheet name="F4" sheetId="13" r:id="rId8"/>
    <sheet name="T3" sheetId="16" r:id="rId9"/>
    <sheet name="F5" sheetId="4" r:id="rId10"/>
    <sheet name="F6" sheetId="5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_123Graph_A">#N/A</definedName>
    <definedName name="__123Graph_AGRAPH1">#N/A</definedName>
    <definedName name="_1__123Graph_AAGI_TPY">#N/A</definedName>
    <definedName name="_10__123Graph_ACHART_9">#N/A</definedName>
    <definedName name="_11__123Graph_ATINC_AGI">#N/A</definedName>
    <definedName name="_12__123Graph_BAGI_TPY">#N/A</definedName>
    <definedName name="_13__123Graph_BCHART_10">#N/A</definedName>
    <definedName name="_14__123Graph_BCHART_11">#N/A</definedName>
    <definedName name="_15__123Graph_BCHART_6">#N/A</definedName>
    <definedName name="_16__123Graph_BCHART_7">#N/A</definedName>
    <definedName name="_17__123Graph_BCHART_8">#N/A</definedName>
    <definedName name="_18__123Graph_CCHART_7">#N/A</definedName>
    <definedName name="_19__123Graph_DCHART_7">#N/A</definedName>
    <definedName name="_1INT_DEBT">#REF!</definedName>
    <definedName name="_2__123Graph_ACHART_10">#N/A</definedName>
    <definedName name="_20__123Graph_ECHART_3">#N/A</definedName>
    <definedName name="_2003">#N/A</definedName>
    <definedName name="_21__123Graph_ECHART_7">#N/A</definedName>
    <definedName name="_22__123Graph_FCHART_3">#N/A</definedName>
    <definedName name="_23__123Graph_FCHART_7">#N/A</definedName>
    <definedName name="_24__123Graph_XAGI_TPY">#N/A</definedName>
    <definedName name="_25__123Graph_XCHART_10">#N/A</definedName>
    <definedName name="_26__123Graph_XCHART_11">#N/A</definedName>
    <definedName name="_27__123Graph_XCHART_12">#N/A</definedName>
    <definedName name="_28__123Graph_XCHART_13">#N/A</definedName>
    <definedName name="_29__123Graph_XCHART_3">#N/A</definedName>
    <definedName name="_3__123Graph_ACHART_11">#N/A</definedName>
    <definedName name="_30__123Graph_XCHART_5">#N/A</definedName>
    <definedName name="_31__123Graph_XCHART_6">#N/A</definedName>
    <definedName name="_32__123Graph_XCHART_7">#N/A</definedName>
    <definedName name="_33__123Graph_XCHART_8">#N/A</definedName>
    <definedName name="_34__123Graph_XCHART_9">#N/A</definedName>
    <definedName name="_35__123Graph_XTINC_AGI">#N/A</definedName>
    <definedName name="_4__123Graph_ACHART_12">#N/A</definedName>
    <definedName name="_5__123Graph_ACHART_13">#N/A</definedName>
    <definedName name="_6__123Graph_ACHART_5">#N/A</definedName>
    <definedName name="_7__123Graph_ACHART_6">#N/A</definedName>
    <definedName name="_8__123Graph_ACHART_7">#N/A</definedName>
    <definedName name="_9__123Graph_ACHART_8">#N/A</definedName>
    <definedName name="_DLX1" localSheetId="2">#REF!</definedName>
    <definedName name="_DLX1" localSheetId="8">#REF!</definedName>
    <definedName name="_DLX1">'F5'!$BU$1:$JU$5</definedName>
    <definedName name="_DLX2">#REF!</definedName>
    <definedName name="_DLX3">#REF!</definedName>
    <definedName name="_DLX4">#REF!</definedName>
    <definedName name="_Fill" hidden="1">#REF!</definedName>
    <definedName name="ALL">#N/A</definedName>
    <definedName name="BACKUP">#REF!</definedName>
    <definedName name="BASELINE">#REF!</definedName>
    <definedName name="BudgetYear">#REF!</definedName>
    <definedName name="CHANGE">#N/A</definedName>
    <definedName name="COVER">#REF!</definedName>
    <definedName name="CurrentYear">#REF!</definedName>
    <definedName name="DOLLARS">#REF!</definedName>
    <definedName name="fromyear" localSheetId="8">[1]Data!$B$24</definedName>
    <definedName name="fromyear">[1]Data!$B$24</definedName>
    <definedName name="FY">#REF!</definedName>
    <definedName name="FYCPIU">#REF!</definedName>
    <definedName name="GRAPH_2003">#N/A</definedName>
    <definedName name="GRAPHS">#N/A</definedName>
    <definedName name="GROWTH">#REF!</definedName>
    <definedName name="GrowthRateYearRange_High">#REF!</definedName>
    <definedName name="GrowthRateYearRange_Low">#REF!</definedName>
    <definedName name="GRWTH">#REF!</definedName>
    <definedName name="I_\Baseline\David\Winter99\111898\_r1118b.xls_A">#REF!</definedName>
    <definedName name="I_\Baseline\David\Winter99\preadvisers\_r111698a.xls_A">#REF!</definedName>
    <definedName name="macro">#REF!</definedName>
    <definedName name="MACRO_DATA">#REF!</definedName>
    <definedName name="MBBTotalPrintArea">#REF!</definedName>
    <definedName name="newbase">[2]Data!$C$3</definedName>
    <definedName name="OFFBUD">#REF!</definedName>
    <definedName name="oldbase">[2]Data!$C$2</definedName>
    <definedName name="OutYear1">#REF!</definedName>
    <definedName name="OutYear2">#REF!</definedName>
    <definedName name="OutYear3">#REF!</definedName>
    <definedName name="OutYear4">#REF!</definedName>
    <definedName name="OutYear5">#REF!</definedName>
    <definedName name="OutYear6">#REF!</definedName>
    <definedName name="OutYear7">#REF!</definedName>
    <definedName name="OutYear8">#REF!</definedName>
    <definedName name="OutYear9">#REF!</definedName>
    <definedName name="Parameters2">#REF!</definedName>
    <definedName name="Parameters3">#REF!</definedName>
    <definedName name="PRINT">#REF!</definedName>
    <definedName name="_xlnm.Print_Area">#REF!</definedName>
    <definedName name="Print_Area2" localSheetId="8">'[3]Growth rates'!$B$3:$M$61</definedName>
    <definedName name="Print_Area2">'[3]Growth rates'!$B$3:$M$61</definedName>
    <definedName name="print_area3">#REF!</definedName>
    <definedName name="_xlnm.Print_Titles">#N/A</definedName>
    <definedName name="PRINTALL">#N/A</definedName>
    <definedName name="PRINTP1">#REF!</definedName>
    <definedName name="PRINTP2">#REF!</definedName>
    <definedName name="PRINTP3">#REF!</definedName>
    <definedName name="PriorYear">#REF!</definedName>
    <definedName name="SOG">#REF!</definedName>
    <definedName name="SUP">#REF!</definedName>
    <definedName name="TABLE4">#REF!</definedName>
    <definedName name="toyear" localSheetId="8">[1]Data!$B$25</definedName>
    <definedName name="toyear">[1]Data!$B$25</definedName>
    <definedName name="VPART1">#N/A</definedName>
    <definedName name="VPART2">#N/A</definedName>
    <definedName name="VPART3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6" l="1"/>
  <c r="A14" i="6"/>
  <c r="A13" i="6"/>
  <c r="A12" i="6"/>
  <c r="A11" i="6"/>
  <c r="A10" i="6"/>
  <c r="A9" i="6"/>
  <c r="A8" i="6"/>
  <c r="A7" i="6"/>
</calcChain>
</file>

<file path=xl/sharedStrings.xml><?xml version="1.0" encoding="utf-8"?>
<sst xmlns="http://schemas.openxmlformats.org/spreadsheetml/2006/main" count="232" uniqueCount="197">
  <si>
    <t>State of U.S. Tariffs: January 19, 2026</t>
  </si>
  <si>
    <t>January 2026</t>
  </si>
  <si>
    <t>The Budget Lab at Yale</t>
  </si>
  <si>
    <t>Tables and Figures</t>
  </si>
  <si>
    <t>Policy Summary</t>
  </si>
  <si>
    <r>
      <t>Broad Tariffs under IEEPA Authority</t>
    </r>
    <r>
      <rPr>
        <sz val="12"/>
        <rFont val="Aptos"/>
        <charset val="1"/>
      </rPr>
      <t> </t>
    </r>
  </si>
  <si>
    <r>
      <t>Region</t>
    </r>
    <r>
      <rPr>
        <sz val="12"/>
        <rFont val="Aptos"/>
        <charset val="1"/>
      </rPr>
      <t> </t>
    </r>
  </si>
  <si>
    <r>
      <t>Description</t>
    </r>
    <r>
      <rPr>
        <sz val="12"/>
        <rFont val="Aptos"/>
        <charset val="1"/>
      </rPr>
      <t> </t>
    </r>
  </si>
  <si>
    <r>
      <t>Canada</t>
    </r>
    <r>
      <rPr>
        <sz val="12"/>
        <rFont val="Aptos"/>
        <charset val="1"/>
      </rPr>
      <t> </t>
    </r>
  </si>
  <si>
    <t>0% reciprocal (exempt); 0% on USMCA-duty-free; 10% energy/potash; 35% other non-USMCA; USMCA goods duty-free </t>
  </si>
  <si>
    <r>
      <t>Mexico</t>
    </r>
    <r>
      <rPr>
        <sz val="12"/>
        <rFont val="Aptos"/>
        <charset val="1"/>
      </rPr>
      <t> </t>
    </r>
  </si>
  <si>
    <t>0% reciprocal (exempt); 0% on USMCA-duty-free; 10% potash; 25% other non-USMCA; USMCA goods duty-free </t>
  </si>
  <si>
    <r>
      <t>China</t>
    </r>
    <r>
      <rPr>
        <sz val="12"/>
        <rFont val="Aptos"/>
        <charset val="1"/>
      </rPr>
      <t> </t>
    </r>
  </si>
  <si>
    <t>10% reciprocal baseline; higher China rate delayed; additional “fentanyl” 10% (stacks regardless of other tariffs) </t>
  </si>
  <si>
    <r>
      <t>European Union</t>
    </r>
    <r>
      <rPr>
        <sz val="12"/>
        <rFont val="Aptos"/>
        <charset val="1"/>
      </rPr>
      <t> </t>
    </r>
  </si>
  <si>
    <t>Formula reciprocal rate, typically 0–15% </t>
  </si>
  <si>
    <r>
      <t>United Kingdom</t>
    </r>
    <r>
      <rPr>
        <sz val="12"/>
        <rFont val="Aptos"/>
        <charset val="1"/>
      </rPr>
      <t> </t>
    </r>
  </si>
  <si>
    <t>10% reciprocal </t>
  </si>
  <si>
    <r>
      <t>Trade-deal partners</t>
    </r>
    <r>
      <rPr>
        <sz val="12"/>
        <rFont val="Aptos"/>
        <charset val="1"/>
      </rPr>
      <t> (Japan, Korea, Vietnam, etc.) </t>
    </r>
  </si>
  <si>
    <t>Reciprocal rates mostly in 15–25% range </t>
  </si>
  <si>
    <r>
      <t>Other</t>
    </r>
    <r>
      <rPr>
        <sz val="12"/>
        <rFont val="Aptos"/>
        <charset val="1"/>
      </rPr>
      <t> </t>
    </r>
  </si>
  <si>
    <t>Mostly 10% reciprocal; some countries 15–50% </t>
  </si>
  <si>
    <t> </t>
  </si>
  <si>
    <r>
      <t>Product-Specific Tariffs under Section 232 Authority</t>
    </r>
    <r>
      <rPr>
        <sz val="12"/>
        <rFont val="Aptos"/>
        <charset val="1"/>
      </rPr>
      <t> </t>
    </r>
  </si>
  <si>
    <r>
      <t>Sector / Product</t>
    </r>
    <r>
      <rPr>
        <sz val="12"/>
        <rFont val="Aptos"/>
        <charset val="1"/>
      </rPr>
      <t> </t>
    </r>
  </si>
  <si>
    <r>
      <t>Steel</t>
    </r>
    <r>
      <rPr>
        <sz val="12"/>
        <rFont val="Aptos"/>
        <charset val="1"/>
      </rPr>
      <t> </t>
    </r>
  </si>
  <si>
    <t>50%; 25% UK; USMCA goods duty-free </t>
  </si>
  <si>
    <r>
      <t>Aluminum</t>
    </r>
    <r>
      <rPr>
        <sz val="12"/>
        <rFont val="Aptos"/>
        <charset val="1"/>
      </rPr>
      <t> </t>
    </r>
  </si>
  <si>
    <r>
      <t>Copper</t>
    </r>
    <r>
      <rPr>
        <sz val="12"/>
        <rFont val="Aptos"/>
        <charset val="1"/>
      </rPr>
      <t> </t>
    </r>
  </si>
  <si>
    <t>50% on semi-finished/derivative copper; USMCA goods duty-free </t>
  </si>
  <si>
    <r>
      <t>Automobiles</t>
    </r>
    <r>
      <rPr>
        <sz val="12"/>
        <rFont val="Aptos"/>
        <charset val="1"/>
      </rPr>
      <t> </t>
    </r>
  </si>
  <si>
    <t>25% headline; often 0–15% for EU/Japan via formula; USMCA goods duty-free </t>
  </si>
  <si>
    <r>
      <t>Auto parts</t>
    </r>
    <r>
      <rPr>
        <sz val="12"/>
        <rFont val="Aptos"/>
        <charset val="1"/>
      </rPr>
      <t> </t>
    </r>
  </si>
  <si>
    <t>25% most; 10% for some UK parts; 0–15% EU/Japan formula; USMCA import adjustment can reduce rates </t>
  </si>
  <si>
    <r>
      <t>Medium/heavy trucks &amp; buses</t>
    </r>
    <r>
      <rPr>
        <sz val="12"/>
        <rFont val="Aptos"/>
        <charset val="1"/>
      </rPr>
      <t> </t>
    </r>
  </si>
  <si>
    <t>25% on trucks/parts; 10% buses; some USMCA relief </t>
  </si>
  <si>
    <r>
      <t>Lumber / wood products</t>
    </r>
    <r>
      <rPr>
        <sz val="12"/>
        <rFont val="Aptos"/>
        <charset val="1"/>
      </rPr>
      <t> </t>
    </r>
  </si>
  <si>
    <t>10% softwood; 25–30% upholstered furniture; 25–50% cabinets/vanities; USMCA goods duty-free </t>
  </si>
  <si>
    <t>Table 1. Summary Economic &amp; Fiscal Effects of 2025-26 Tariffs through January 19, 2026</t>
  </si>
  <si>
    <r>
      <t xml:space="preserve">Source: </t>
    </r>
    <r>
      <rPr>
        <sz val="11"/>
        <color theme="1"/>
        <rFont val="Arial"/>
        <family val="2"/>
      </rPr>
      <t>Congressional Budget Office, S&amp;P Global, GTAP v7 [Corong et al (2017)], GTAP-RD, The Budget Lab analysis.</t>
    </r>
  </si>
  <si>
    <t>Summary Economic &amp; Fiscal Effects of 2025-26 Tariffs Through January 19, 2026</t>
  </si>
  <si>
    <t>Current Policy</t>
  </si>
  <si>
    <t/>
  </si>
  <si>
    <t>With Greenland Tariffs</t>
  </si>
  <si>
    <t>Effective Tariff Rates</t>
  </si>
  <si>
    <t>Overall, Pre-Substitution</t>
  </si>
  <si>
    <t>Overall, Post-Substitution</t>
  </si>
  <si>
    <t>Fiscal</t>
  </si>
  <si>
    <t>Conventional Revenue, 2026-2035 (Trillions)</t>
  </si>
  <si>
    <t>Dynamic Revenue, 2026-2035 (Trillions)</t>
  </si>
  <si>
    <t>Prices</t>
  </si>
  <si>
    <t>Percent Change in PCE Price Level, pre-substitution</t>
  </si>
  <si>
    <t>Percent Change in PCE Price Level, post-substitution</t>
  </si>
  <si>
    <t>Average Household Real Income Loss, Pre-Substitution (2025$)</t>
  </si>
  <si>
    <t>Average Household Real Income Loss, Post-Substitution (2025$)</t>
  </si>
  <si>
    <t>Output and Employment</t>
  </si>
  <si>
    <t>Percentage Point Change in Q4-Q4 GDP Growth, 2026</t>
  </si>
  <si>
    <t>Percent change in long-run GDP</t>
  </si>
  <si>
    <t>Change in the Unemployment Rate, End of 2026</t>
  </si>
  <si>
    <t>Table 2. Average Effective US Tariff Rate, New 2025-26 Policy through January 19, 2026</t>
  </si>
  <si>
    <r>
      <rPr>
        <b/>
        <sz val="11"/>
        <color theme="1"/>
        <rFont val="Arial"/>
        <family val="2"/>
      </rPr>
      <t>Subtitle:</t>
    </r>
    <r>
      <rPr>
        <sz val="11"/>
        <color theme="1"/>
        <rFont val="Arial"/>
        <family val="2"/>
      </rPr>
      <t xml:space="preserve"> Pre- and post-substitution</t>
    </r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</si>
  <si>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GTAP v7, The Budget Lab analysis.</t>
    </r>
  </si>
  <si>
    <t>Average Effective Tariff Rate</t>
  </si>
  <si>
    <t>Share of Goods Imports</t>
  </si>
  <si>
    <t>Contribution</t>
  </si>
  <si>
    <t>Pre-Substitution</t>
  </si>
  <si>
    <t>Post-Substitution</t>
  </si>
  <si>
    <t xml:space="preserve">  Current Policy</t>
  </si>
  <si>
    <t>China</t>
  </si>
  <si>
    <t>Canada</t>
  </si>
  <si>
    <t>Mexico</t>
  </si>
  <si>
    <t>Rest of World</t>
  </si>
  <si>
    <t>Total</t>
  </si>
  <si>
    <t xml:space="preserve">  With Greenland Tariffs</t>
  </si>
  <si>
    <t>Figure 1. US Average Effective Tariff Rate Since 1790, with Greenland Tariffs</t>
  </si>
  <si>
    <r>
      <rPr>
        <b/>
        <sz val="11"/>
        <color theme="1"/>
        <rFont val="Arial"/>
        <family val="2"/>
      </rPr>
      <t>Subtitle:</t>
    </r>
    <r>
      <rPr>
        <sz val="11"/>
        <color theme="1"/>
        <rFont val="Arial"/>
        <family val="2"/>
      </rPr>
      <t xml:space="preserve"> Customs duty revenue as a percentage of goods imports</t>
    </r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</si>
  <si>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Historical Statistics of the United States Ea424-434, Monthly Treasury Statement, Bureau of Economic Analysis, The Budget Lab analysis. </t>
    </r>
  </si>
  <si>
    <t>Year</t>
  </si>
  <si>
    <t>Effective Tariff Rate</t>
  </si>
  <si>
    <t>Projected Post-Substitution Rate</t>
  </si>
  <si>
    <t>Current Post-Substitution Rate</t>
  </si>
  <si>
    <t>Projected Pre-Substitution Rate</t>
  </si>
  <si>
    <t>Current Pre-Substituton Rate</t>
  </si>
  <si>
    <t>Figure 2. US Real GDP Level Effects of 2025-26 Tariffs to Date</t>
  </si>
  <si>
    <t>Subtitle: US tariffs implemented through January 19. Percentage point change against baseline</t>
  </si>
  <si>
    <r>
      <rPr>
        <b/>
        <sz val="11"/>
        <color rgb="FF000000"/>
        <rFont val="Arial"/>
        <family val="2"/>
      </rPr>
      <t>Source:</t>
    </r>
    <r>
      <rPr>
        <sz val="11"/>
        <color rgb="FF000000"/>
        <rFont val="Arial"/>
        <family val="2"/>
      </rPr>
      <t xml:space="preserve"> Historical Statistics of the United States Ea424-434, Monthly Treasury Statement, Bureau of Economic Analysis, The Budget Lab analysis. </t>
    </r>
  </si>
  <si>
    <t>Date</t>
  </si>
  <si>
    <t>Figure 3. Change in Long-Run Real US GDP by Sector from 2025-26 Tariffs</t>
  </si>
  <si>
    <t>Subtitle: U.S. tariffs implemented through January 19, 2026, plus foreign retaliation. Percentage points.</t>
  </si>
  <si>
    <r>
      <t xml:space="preserve">Notes: </t>
    </r>
    <r>
      <rPr>
        <sz val="11"/>
        <color theme="1"/>
        <rFont val="Arial"/>
        <family val="2"/>
      </rPr>
      <t>Real value added by sector.</t>
    </r>
  </si>
  <si>
    <t>Agriculture</t>
  </si>
  <si>
    <t>Mining &amp; Extraction</t>
  </si>
  <si>
    <t>Total Manufacturing</t>
  </si>
  <si>
    <t>Durable Manufacturing</t>
  </si>
  <si>
    <t>Advanced Manufacturing</t>
  </si>
  <si>
    <t>Nondurable Manufacturing</t>
  </si>
  <si>
    <t>Utilities</t>
  </si>
  <si>
    <t>Construction</t>
  </si>
  <si>
    <t>Services</t>
  </si>
  <si>
    <t>Overall Real GDP</t>
  </si>
  <si>
    <t>Figure 4. Long-Run Change in Real GDP Level from 2025-26 Tariffs to Date</t>
  </si>
  <si>
    <t>Subtitle: U.S. tariffs implemented through January 19, 2026. Percentage point change</t>
  </si>
  <si>
    <r>
      <t xml:space="preserve">Notes: </t>
    </r>
    <r>
      <rPr>
        <sz val="11"/>
        <color theme="1"/>
        <rFont val="Arial"/>
        <family val="2"/>
      </rPr>
      <t>FTROW = countries with a comprehensive free trade agreement with the US. ROW = all other countries.</t>
    </r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</si>
  <si>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GTAP v7 [Corong et al (2017)], The Budget Lab analysis.</t>
    </r>
  </si>
  <si>
    <t>USA</t>
  </si>
  <si>
    <t>ROW</t>
  </si>
  <si>
    <t>FTROW</t>
  </si>
  <si>
    <t>Japan</t>
  </si>
  <si>
    <t>EU</t>
  </si>
  <si>
    <t>UK</t>
  </si>
  <si>
    <t>World Total</t>
  </si>
  <si>
    <t>World ex USA</t>
  </si>
  <si>
    <t>Table 3. Estimated Revenue Effects of All 2025 Tariffs</t>
  </si>
  <si>
    <t>Subtitle: Through January 19.</t>
  </si>
  <si>
    <t>Source: Congressional Budget Office, GTAP v7 [Corong et al (2017)], The Budget Lab analysis.</t>
  </si>
  <si>
    <t>2026-35</t>
  </si>
  <si>
    <t>Conventional</t>
  </si>
  <si>
    <t>Dynamic</t>
  </si>
  <si>
    <t>Dynamic effect</t>
  </si>
  <si>
    <t>Figure 5. Short-Run Distributional Effects of 2025 Tariffs</t>
  </si>
  <si>
    <t>Subtitle: Through January 19. By household income decile</t>
  </si>
  <si>
    <r>
      <rPr>
        <b/>
        <sz val="11"/>
        <color rgb="FF000000"/>
        <rFont val="Arial"/>
        <family val="2"/>
      </rPr>
      <t xml:space="preserve">Source: </t>
    </r>
    <r>
      <rPr>
        <sz val="11"/>
        <color rgb="FF000000"/>
        <rFont val="Arial"/>
        <family val="2"/>
      </rPr>
      <t>GTAP v7, Census, BLS, BEA, The Budget Lab analysis.</t>
    </r>
  </si>
  <si>
    <t>Decile</t>
  </si>
  <si>
    <t>% of ATI</t>
  </si>
  <si>
    <t>2025$</t>
  </si>
  <si>
    <t xml:space="preserve">  </t>
  </si>
  <si>
    <t>Figure 6. Commodity Price Effects from 2025-26 Tariffs through January 19, 2026</t>
  </si>
  <si>
    <r>
      <rPr>
        <b/>
        <sz val="11"/>
        <color theme="1"/>
        <rFont val="Arial"/>
        <family val="2"/>
      </rPr>
      <t>Subtitle:</t>
    </r>
    <r>
      <rPr>
        <sz val="11"/>
        <color theme="1"/>
        <rFont val="Arial"/>
        <family val="2"/>
      </rPr>
      <t xml:space="preserve"> Percent change to price level</t>
    </r>
  </si>
  <si>
    <r>
      <rPr>
        <b/>
        <sz val="11"/>
        <color rgb="FF000000"/>
        <rFont val="Arial"/>
        <family val="2"/>
      </rPr>
      <t>Notes:</t>
    </r>
    <r>
      <rPr>
        <sz val="11"/>
        <color rgb="FF000000"/>
        <rFont val="Arial"/>
        <family val="2"/>
      </rPr>
      <t xml:space="preserve"> "nec" = "Not elsewhere classified."</t>
    </r>
  </si>
  <si>
    <r>
      <t>Source:</t>
    </r>
    <r>
      <rPr>
        <sz val="11"/>
        <color rgb="FF000000"/>
        <rFont val="Arial"/>
        <family val="2"/>
      </rPr>
      <t xml:space="preserve"> GTAP v7 [Corong et al (2017)], The Budget Lab analysis.</t>
    </r>
  </si>
  <si>
    <t>Name</t>
  </si>
  <si>
    <t>Short-Run</t>
  </si>
  <si>
    <t>Long-Run</t>
  </si>
  <si>
    <t>Leather products</t>
  </si>
  <si>
    <t>Wearing apparel</t>
  </si>
  <si>
    <t>Electrical equipment</t>
  </si>
  <si>
    <t>Metal products</t>
  </si>
  <si>
    <t>Computer, electronic and optic</t>
  </si>
  <si>
    <t>Metals nec</t>
  </si>
  <si>
    <t>Textiles</t>
  </si>
  <si>
    <t>Motor vehicles and parts</t>
  </si>
  <si>
    <t>Machinery and equipment nec</t>
  </si>
  <si>
    <t>Transport equipment nec</t>
  </si>
  <si>
    <t>Mineral products nec</t>
  </si>
  <si>
    <t>Ferrous metals</t>
  </si>
  <si>
    <t>Manufactures nec</t>
  </si>
  <si>
    <t>Rubber and plastic products</t>
  </si>
  <si>
    <t>Crops nec</t>
  </si>
  <si>
    <t>Processed rice</t>
  </si>
  <si>
    <t>Wood products</t>
  </si>
  <si>
    <t>Fishing</t>
  </si>
  <si>
    <t>Chemical products</t>
  </si>
  <si>
    <t>Beverages and tobacco products</t>
  </si>
  <si>
    <t>Vegetable oils and fats</t>
  </si>
  <si>
    <t>Food products nec</t>
  </si>
  <si>
    <t>Paper products, publishing</t>
  </si>
  <si>
    <t>Minerals nec</t>
  </si>
  <si>
    <t>Paddy rice</t>
  </si>
  <si>
    <t>Vegetables, fruit, nuts</t>
  </si>
  <si>
    <t>Forestry</t>
  </si>
  <si>
    <t>Sugar</t>
  </si>
  <si>
    <t>Animal products nec</t>
  </si>
  <si>
    <t>Cereal grains nec</t>
  </si>
  <si>
    <t>Oil</t>
  </si>
  <si>
    <t>Dairy products</t>
  </si>
  <si>
    <t>Basic pharmaceutical products</t>
  </si>
  <si>
    <t>Meat products nec</t>
  </si>
  <si>
    <t>Petroleum, coal products</t>
  </si>
  <si>
    <t>Oil seeds</t>
  </si>
  <si>
    <t>Wool, silk-worm cocoons</t>
  </si>
  <si>
    <t>Bovine meat products</t>
  </si>
  <si>
    <t>Plant-based fibers</t>
  </si>
  <si>
    <t>Gas</t>
  </si>
  <si>
    <t>Bovine cattle, sheep and goats</t>
  </si>
  <si>
    <t>Sugar cane, sugar beet</t>
  </si>
  <si>
    <t>Wheat</t>
  </si>
  <si>
    <t>Raw milk</t>
  </si>
  <si>
    <t>Coal</t>
  </si>
  <si>
    <t>Electricity</t>
  </si>
  <si>
    <t>Gas manufacture, distribution</t>
  </si>
  <si>
    <t>Water</t>
  </si>
  <si>
    <t>Trade</t>
  </si>
  <si>
    <t>Accommodation, Food and servic</t>
  </si>
  <si>
    <t>Transport nec</t>
  </si>
  <si>
    <t>Water transport</t>
  </si>
  <si>
    <t>Air transport</t>
  </si>
  <si>
    <t>Warehousing and support activi</t>
  </si>
  <si>
    <t>Communication</t>
  </si>
  <si>
    <t>Financial services nec</t>
  </si>
  <si>
    <t>Insurance</t>
  </si>
  <si>
    <t>Real estate activities</t>
  </si>
  <si>
    <t>Business services nec</t>
  </si>
  <si>
    <t>Recreational and other service</t>
  </si>
  <si>
    <t>Public Administration and defe</t>
  </si>
  <si>
    <t>Education</t>
  </si>
  <si>
    <t>Human health and social work a</t>
  </si>
  <si>
    <t>Dwellings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</si>
</sst>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yyyy"/>
    <numFmt numFmtId="165" formatCode="0.000"/>
    <numFmt numFmtId="166" formatCode="0.0%"/>
    <numFmt numFmtId="167" formatCode="&quot;$&quot;#,##0.0"/>
    <numFmt numFmtId="168" formatCode="&quot;$&quot;#,##0"/>
    <numFmt numFmtId="169" formatCode="0.0"/>
    <numFmt numFmtId="170" formatCode="_(* #,##0.0_);_(* \(#,##0.0\);_(* &quot;-&quot;??_);_(@_)"/>
    <numFmt numFmtId="171" formatCode="_(* #,##0_);_(* \(#,##0\);_(* &quot;-&quot;??_);_(@_)"/>
  </numFmts>
  <fonts count="15">
    <font>
      <sz val="1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u/>
      <sz val="10"/>
      <color theme="10"/>
      <name val="Arial"/>
      <family val="2"/>
    </font>
    <font>
      <sz val="12"/>
      <name val="Aptos"/>
      <charset val="1"/>
    </font>
    <font>
      <b/>
      <sz val="12"/>
      <name val="Aptos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A02B93"/>
      </left>
      <right/>
      <top style="thin">
        <color rgb="FF000000"/>
      </top>
      <bottom/>
      <diagonal/>
    </border>
    <border>
      <left style="medium">
        <color rgb="FFA02B93"/>
      </left>
      <right/>
      <top/>
      <bottom/>
      <diagonal/>
    </border>
    <border>
      <left style="medium">
        <color rgb="FFA02B93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" fontId="1" fillId="2" borderId="0" xfId="0" applyNumberFormat="1" applyFont="1" applyFill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49" fontId="4" fillId="3" borderId="0" xfId="0" applyNumberFormat="1" applyFont="1" applyFill="1"/>
    <xf numFmtId="0" fontId="5" fillId="3" borderId="0" xfId="0" applyFont="1" applyFill="1"/>
    <xf numFmtId="0" fontId="2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wrapText="1"/>
    </xf>
    <xf numFmtId="0" fontId="8" fillId="3" borderId="0" xfId="0" applyFont="1" applyFill="1" applyAlignment="1">
      <alignment horizontal="left" vertical="center" indent="1"/>
    </xf>
    <xf numFmtId="166" fontId="4" fillId="3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horizontal="left" indent="1"/>
    </xf>
    <xf numFmtId="167" fontId="4" fillId="3" borderId="0" xfId="0" applyNumberFormat="1" applyFont="1" applyFill="1" applyAlignment="1">
      <alignment horizontal="center"/>
    </xf>
    <xf numFmtId="166" fontId="4" fillId="3" borderId="0" xfId="0" applyNumberFormat="1" applyFont="1" applyFill="1" applyAlignment="1">
      <alignment horizontal="center"/>
    </xf>
    <xf numFmtId="168" fontId="4" fillId="3" borderId="0" xfId="0" applyNumberFormat="1" applyFont="1" applyFill="1" applyAlignment="1">
      <alignment horizontal="center"/>
    </xf>
    <xf numFmtId="169" fontId="4" fillId="3" borderId="0" xfId="0" applyNumberFormat="1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0" fontId="8" fillId="3" borderId="1" xfId="0" applyFont="1" applyFill="1" applyBorder="1" applyAlignment="1">
      <alignment horizontal="left" indent="1"/>
    </xf>
    <xf numFmtId="169" fontId="4" fillId="3" borderId="1" xfId="0" applyNumberFormat="1" applyFont="1" applyFill="1" applyBorder="1" applyAlignment="1">
      <alignment horizontal="center"/>
    </xf>
    <xf numFmtId="0" fontId="9" fillId="3" borderId="0" xfId="0" applyFont="1" applyFill="1"/>
    <xf numFmtId="166" fontId="4" fillId="3" borderId="0" xfId="0" applyNumberFormat="1" applyFont="1" applyFill="1" applyAlignment="1">
      <alignment horizontal="center" vertical="center" wrapText="1"/>
    </xf>
    <xf numFmtId="169" fontId="7" fillId="3" borderId="1" xfId="0" applyNumberFormat="1" applyFont="1" applyFill="1" applyBorder="1" applyAlignment="1">
      <alignment horizontal="center" vertical="center"/>
    </xf>
    <xf numFmtId="9" fontId="4" fillId="3" borderId="0" xfId="0" applyNumberFormat="1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left" vertical="center"/>
    </xf>
    <xf numFmtId="169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170" fontId="4" fillId="3" borderId="0" xfId="0" applyNumberFormat="1" applyFont="1" applyFill="1"/>
    <xf numFmtId="2" fontId="4" fillId="3" borderId="0" xfId="0" applyNumberFormat="1" applyFont="1" applyFill="1" applyAlignment="1">
      <alignment horizontal="center" vertical="center"/>
    </xf>
    <xf numFmtId="0" fontId="1" fillId="3" borderId="0" xfId="0" applyFont="1" applyFill="1"/>
    <xf numFmtId="169" fontId="4" fillId="3" borderId="0" xfId="0" applyNumberFormat="1" applyFont="1" applyFill="1" applyAlignment="1">
      <alignment horizontal="center" vertical="center"/>
    </xf>
    <xf numFmtId="0" fontId="4" fillId="3" borderId="1" xfId="0" applyFont="1" applyFill="1" applyBorder="1"/>
    <xf numFmtId="2" fontId="4" fillId="3" borderId="1" xfId="0" applyNumberFormat="1" applyFont="1" applyFill="1" applyBorder="1" applyAlignment="1">
      <alignment horizontal="center" vertical="center"/>
    </xf>
    <xf numFmtId="14" fontId="4" fillId="3" borderId="0" xfId="0" applyNumberFormat="1" applyFont="1" applyFill="1" applyAlignment="1">
      <alignment horizontal="left" vertical="center"/>
    </xf>
    <xf numFmtId="14" fontId="7" fillId="3" borderId="0" xfId="0" applyNumberFormat="1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70" fontId="4" fillId="3" borderId="1" xfId="0" applyNumberFormat="1" applyFont="1" applyFill="1" applyBorder="1"/>
    <xf numFmtId="14" fontId="7" fillId="3" borderId="1" xfId="0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left" vertical="center"/>
    </xf>
    <xf numFmtId="9" fontId="7" fillId="3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2" fontId="4" fillId="3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2" fontId="4" fillId="3" borderId="8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7" fillId="3" borderId="0" xfId="0" applyNumberFormat="1" applyFont="1" applyFill="1" applyAlignment="1">
      <alignment vertical="top" wrapText="1"/>
    </xf>
    <xf numFmtId="49" fontId="7" fillId="3" borderId="0" xfId="0" applyNumberFormat="1" applyFont="1" applyFill="1" applyAlignment="1">
      <alignment vertical="center" wrapText="1"/>
    </xf>
    <xf numFmtId="49" fontId="7" fillId="3" borderId="0" xfId="0" applyNumberFormat="1" applyFont="1" applyFill="1" applyAlignment="1">
      <alignment horizontal="center" vertical="center" wrapText="1"/>
    </xf>
    <xf numFmtId="2" fontId="4" fillId="3" borderId="0" xfId="0" applyNumberFormat="1" applyFont="1" applyFill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4" fontId="4" fillId="3" borderId="4" xfId="0" applyNumberFormat="1" applyFont="1" applyFill="1" applyBorder="1" applyAlignment="1">
      <alignment horizontal="center" vertical="center"/>
    </xf>
    <xf numFmtId="43" fontId="4" fillId="3" borderId="0" xfId="0" applyNumberFormat="1" applyFont="1" applyFill="1"/>
    <xf numFmtId="0" fontId="4" fillId="3" borderId="4" xfId="0" applyFont="1" applyFill="1" applyBorder="1"/>
    <xf numFmtId="169" fontId="4" fillId="3" borderId="4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1" fontId="4" fillId="3" borderId="0" xfId="0" applyNumberFormat="1" applyFont="1" applyFill="1" applyAlignment="1">
      <alignment horizontal="center"/>
    </xf>
    <xf numFmtId="171" fontId="7" fillId="3" borderId="0" xfId="0" applyNumberFormat="1" applyFont="1" applyFill="1" applyAlignment="1">
      <alignment horizontal="center"/>
    </xf>
    <xf numFmtId="1" fontId="10" fillId="3" borderId="1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" fontId="4" fillId="3" borderId="0" xfId="0" applyNumberFormat="1" applyFont="1" applyFill="1"/>
    <xf numFmtId="0" fontId="10" fillId="3" borderId="1" xfId="0" applyFont="1" applyFill="1" applyBorder="1" applyAlignment="1">
      <alignment horizontal="left" indent="1"/>
    </xf>
    <xf numFmtId="1" fontId="7" fillId="3" borderId="0" xfId="0" applyNumberFormat="1" applyFont="1" applyFill="1"/>
    <xf numFmtId="0" fontId="1" fillId="3" borderId="1" xfId="0" applyFont="1" applyFill="1" applyBorder="1"/>
    <xf numFmtId="169" fontId="1" fillId="3" borderId="0" xfId="0" applyNumberFormat="1" applyFont="1" applyFill="1" applyAlignment="1">
      <alignment horizontal="center" vertical="center"/>
    </xf>
    <xf numFmtId="0" fontId="1" fillId="3" borderId="3" xfId="0" applyFont="1" applyFill="1" applyBorder="1"/>
    <xf numFmtId="168" fontId="1" fillId="3" borderId="0" xfId="0" applyNumberFormat="1" applyFont="1" applyFill="1"/>
    <xf numFmtId="0" fontId="3" fillId="3" borderId="0" xfId="0" applyFont="1" applyFill="1" applyAlignment="1">
      <alignment vertical="center"/>
    </xf>
    <xf numFmtId="2" fontId="1" fillId="3" borderId="0" xfId="0" applyNumberFormat="1" applyFont="1" applyFill="1" applyAlignment="1">
      <alignment horizontal="center" vertical="center"/>
    </xf>
    <xf numFmtId="43" fontId="1" fillId="3" borderId="0" xfId="0" applyNumberFormat="1" applyFont="1" applyFill="1"/>
    <xf numFmtId="171" fontId="4" fillId="3" borderId="0" xfId="0" applyNumberFormat="1" applyFont="1" applyFill="1"/>
    <xf numFmtId="169" fontId="5" fillId="3" borderId="0" xfId="0" applyNumberFormat="1" applyFont="1" applyFill="1" applyAlignment="1">
      <alignment horizontal="center" vertical="center"/>
    </xf>
    <xf numFmtId="169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wrapText="1"/>
    </xf>
    <xf numFmtId="10" fontId="4" fillId="3" borderId="1" xfId="0" applyNumberFormat="1" applyFont="1" applyFill="1" applyBorder="1" applyAlignment="1">
      <alignment horizontal="center"/>
    </xf>
    <xf numFmtId="14" fontId="10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8" fontId="1" fillId="3" borderId="4" xfId="0" applyNumberFormat="1" applyFont="1" applyFill="1" applyBorder="1" applyAlignment="1">
      <alignment horizontal="center" vertical="center"/>
    </xf>
    <xf numFmtId="168" fontId="1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168" fontId="1" fillId="3" borderId="1" xfId="0" applyNumberFormat="1" applyFont="1" applyFill="1" applyBorder="1" applyAlignment="1">
      <alignment horizontal="center" vertical="center"/>
    </xf>
    <xf numFmtId="171" fontId="6" fillId="3" borderId="0" xfId="0" applyNumberFormat="1" applyFont="1" applyFill="1"/>
    <xf numFmtId="2" fontId="6" fillId="3" borderId="0" xfId="0" applyNumberFormat="1" applyFont="1" applyFill="1"/>
    <xf numFmtId="0" fontId="4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2" fontId="7" fillId="3" borderId="0" xfId="0" applyNumberFormat="1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" fontId="5" fillId="3" borderId="9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2" borderId="0" xfId="0" applyFill="1"/>
    <xf numFmtId="0" fontId="14" fillId="2" borderId="12" xfId="0" applyFont="1" applyFill="1" applyBorder="1" applyAlignment="1">
      <alignment readingOrder="1"/>
    </xf>
    <xf numFmtId="0" fontId="13" fillId="2" borderId="12" xfId="0" applyFont="1" applyFill="1" applyBorder="1" applyAlignment="1">
      <alignment readingOrder="1"/>
    </xf>
    <xf numFmtId="0" fontId="13" fillId="2" borderId="0" xfId="0" applyFont="1" applyFill="1" applyAlignment="1">
      <alignment wrapText="1"/>
    </xf>
    <xf numFmtId="0" fontId="14" fillId="2" borderId="10" xfId="0" applyFont="1" applyFill="1" applyBorder="1" applyAlignment="1">
      <alignment horizontal="center" readingOrder="1"/>
    </xf>
    <xf numFmtId="0" fontId="14" fillId="2" borderId="11" xfId="0" applyFont="1" applyFill="1" applyBorder="1" applyAlignment="1">
      <alignment horizontal="center" readingOrder="1"/>
    </xf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ions/Amber/Historical%20Budget%20Data/January%202011/Historicaltables2011_with%20MAD%20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bo.gov/Projections/Function%20Table%20Aggregates_%20Bridgetables/2012%20January/P354_P364%20BASE%20TO%20BASE_final_adjtab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ions/Baseline_12Aug/Baseline_08Mar/Backup08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2,F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7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OMB Data"/>
      <sheetName val="MAD Data"/>
      <sheetName val="as % of GDP"/>
      <sheetName val="Details"/>
      <sheetName val="F-1"/>
      <sheetName val="F-2"/>
      <sheetName val="F-3"/>
      <sheetName val="F-4"/>
      <sheetName val="F-5"/>
      <sheetName val="F-6"/>
      <sheetName val="F-7"/>
      <sheetName val="F-8"/>
      <sheetName val="F-9"/>
      <sheetName val="F-10"/>
      <sheetName val="F-11"/>
      <sheetName val="F-12"/>
      <sheetName val="F-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OLDDISC"/>
      <sheetName val="DISCleg"/>
      <sheetName val="DISCecon"/>
      <sheetName val="DISCtech"/>
      <sheetName val="DISCTOT"/>
      <sheetName val="NEWDISC"/>
      <sheetName val="OLDMAND"/>
      <sheetName val="MANDLEG"/>
      <sheetName val="MANDECON"/>
      <sheetName val="MANDTECH"/>
      <sheetName val="MANDTOT"/>
      <sheetName val="NEWMAND"/>
      <sheetName val="OLDTOT"/>
      <sheetName val="TOTLEG"/>
      <sheetName val="TOTECON"/>
      <sheetName val="TOTTECH"/>
      <sheetName val="TOTTOT"/>
      <sheetName val="NEWTOT"/>
      <sheetName val="SumChngs"/>
      <sheetName val="PubInf-leg.econ.tech"/>
      <sheetName val="JSC changes"/>
      <sheetName val="PubInf-rev.vs.outlays"/>
      <sheetName val="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eficit"/>
      <sheetName val="Baseline"/>
      <sheetName val="rev"/>
      <sheetName val="outlays"/>
      <sheetName val="Offbud"/>
      <sheetName val="int"/>
      <sheetName val="OffReceipts"/>
      <sheetName val="Disc"/>
      <sheetName val="DiscNoEmerg"/>
      <sheetName val="HLS-Act"/>
      <sheetName val="Table 3-1"/>
      <sheetName val="Growth rates"/>
      <sheetName val="Growth rates Reest"/>
      <sheetName val="BA_Growth"/>
      <sheetName val="OMBComp"/>
      <sheetName val="Reest"/>
      <sheetName val="DctBaseReest"/>
      <sheetName val="DiscBaseReest"/>
      <sheetName val="DiscBaseNoExtReest"/>
      <sheetName val="OMBCompPol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,F1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7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workbookViewId="0"/>
  </sheetViews>
  <sheetFormatPr defaultColWidth="11.42578125" defaultRowHeight="12.75"/>
  <sheetData>
    <row r="1" spans="1:50" ht="15">
      <c r="A1" s="9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ht="14.25">
      <c r="A2" s="8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ht="14.25">
      <c r="A3" s="7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ht="15">
      <c r="A5" s="9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ht="14.25">
      <c r="A6" s="115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ht="14.25">
      <c r="A7" s="10" t="str">
        <f>HYPERLINK("#'T1'!A1", "Table 1. Summary Economic &amp; Fiscal Effects of 2025 Tariffs through January 19")</f>
        <v>Table 1. Summary Economic &amp; Fiscal Effects of 2025 Tariffs through January 19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ht="14.25">
      <c r="A8" s="10" t="str">
        <f>HYPERLINK("#'T2'!A1", "Table 2. Average Effective US Tariff Rate, New 2025 Policy through January 19")</f>
        <v>Table 2. Average Effective US Tariff Rate, New 2025 Policy through January 19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14.25">
      <c r="A9" s="10" t="str">
        <f>HYPERLINK("#'F1'!A1", "Figure 1. US Average Effective Tariff Rate Since 1790")</f>
        <v>Figure 1. US Average Effective Tariff Rate Since 1790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ht="14.25">
      <c r="A10" s="10" t="str">
        <f>HYPERLINK("#'F2'!A1", "Figure 2. US Real GDP Level Effects of 2025 Tariffs to Date")</f>
        <v>Figure 2. US Real GDP Level Effects of 2025 Tariffs to Date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14.25">
      <c r="A11" s="10" t="str">
        <f>HYPERLINK("#'F3'!A1", "Figure 3. Change in Long-Run Real US GDP by Sector from 2025 Tariffs")</f>
        <v>Figure 3. Change in Long-Run Real US GDP by Sector from 2025 Tariffs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ht="14.25">
      <c r="A12" s="10" t="str">
        <f>HYPERLINK("#'F4'!A1", "Figure 4. Long-Run Change in Real GDP Level from 2025 Tariffs to Date")</f>
        <v>Figure 4. Long-Run Change in Real GDP Level from 2025 Tariffs to Date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ht="14.25">
      <c r="A13" s="10" t="str">
        <f>HYPERLINK("#'T3'!A1", "Table 3. Estimated Revenue Effects of All 2025 Tariffs")</f>
        <v>Table 3. Estimated Revenue Effects of All 2025 Tariffs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ht="14.25">
      <c r="A14" s="10" t="str">
        <f>HYPERLINK("#'F5'!A1", "Figure 5. Short-Run Distributional Effects of 2025 Tariffs")</f>
        <v>Figure 5. Short-Run Distributional Effects of 2025 Tariffs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ht="14.25">
      <c r="A15" s="10" t="str">
        <f>HYPERLINK("#'F6'!A1", "Figure 6. Commodity Price Effects from 2025 Tariffs through January 19")</f>
        <v>Figure 6. Commodity Price Effects from 2025 Tariffs through January 19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 spans="1:50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 spans="1:5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</sheetData>
  <hyperlinks>
    <hyperlink ref="A7" location="'T1'!A1" display="Table 1. Summary Economic &amp; Fiscal Effects of 2025 Tariffs through October 30" xr:uid="{00000000-0004-0000-0000-000000000000}"/>
    <hyperlink ref="A8" location="'T2,F1'!A1" display="Table 2/Figure 1. Average Effective US Tariff Rate, New 2025 Policy Through July 7" xr:uid="{00000000-0004-0000-0000-000001000000}"/>
    <hyperlink ref="A9" location="'F1'!A1" display="Figure 1. US Average Effective Tariff Rate Since 1790" xr:uid="{00000000-0004-0000-0000-000002000000}"/>
    <hyperlink ref="A10" location="'F3'!A1" display="Figure 3. US Real GDP Level Effects of 2025 Tariffs to Date" xr:uid="{00000000-0004-0000-0000-000003000000}"/>
    <hyperlink ref="A11" location="'F4'!A1" display="Figure 4. Change in Long-Run Real US GDP by Sector from 2025 Tariffs" xr:uid="{00000000-0004-0000-0000-000004000000}"/>
    <hyperlink ref="A12" location="'F5'!A1" display="Figure 5. Long-Run Change in Real GDP Level from 2025 Tariffs to Date" xr:uid="{00000000-0004-0000-0000-000005000000}"/>
    <hyperlink ref="A14" location="'F6'!A1" display="Figure 6. Short-Run Distributional Effects of 2025 Tariffs" xr:uid="{00000000-0004-0000-0000-000006000000}"/>
    <hyperlink ref="A15" location="'F7'!A1" display="Figure 7. Commodity Price Effects from 2025 Tariffs through November 17" xr:uid="{00000000-0004-0000-0000-000007000000}"/>
    <hyperlink ref="A13" location="'T3'!A1" display="Table 3. Estimated Revenue Effects of All 2025 Tariffs" xr:uid="{00000000-0004-0000-0000-000008000000}"/>
    <hyperlink ref="A6" location="'Policy Summary'!A1" display="Policy Summary" xr:uid="{2D75FB8F-1D29-4B3D-8114-7DAD5B8C9429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0F8A-558A-4265-9C1A-6A9C0AC7BFA7}">
  <dimension ref="A2:B20"/>
  <sheetViews>
    <sheetView workbookViewId="0"/>
  </sheetViews>
  <sheetFormatPr defaultRowHeight="12.75"/>
  <cols>
    <col min="1" max="1" width="53.28515625" style="109" customWidth="1"/>
    <col min="2" max="2" width="120.7109375" style="109" bestFit="1" customWidth="1"/>
    <col min="3" max="16384" width="9.140625" style="109"/>
  </cols>
  <sheetData>
    <row r="2" spans="1:2" ht="15.75">
      <c r="A2" s="113" t="s">
        <v>5</v>
      </c>
      <c r="B2" s="114"/>
    </row>
    <row r="3" spans="1:2" ht="15.75">
      <c r="A3" s="110" t="s">
        <v>6</v>
      </c>
      <c r="B3" s="110" t="s">
        <v>7</v>
      </c>
    </row>
    <row r="4" spans="1:2" ht="15.75">
      <c r="A4" s="110" t="s">
        <v>8</v>
      </c>
      <c r="B4" s="111" t="s">
        <v>9</v>
      </c>
    </row>
    <row r="5" spans="1:2" ht="15.75">
      <c r="A5" s="110" t="s">
        <v>10</v>
      </c>
      <c r="B5" s="111" t="s">
        <v>11</v>
      </c>
    </row>
    <row r="6" spans="1:2" ht="15.75">
      <c r="A6" s="110" t="s">
        <v>12</v>
      </c>
      <c r="B6" s="111" t="s">
        <v>13</v>
      </c>
    </row>
    <row r="7" spans="1:2" ht="15.75">
      <c r="A7" s="110" t="s">
        <v>14</v>
      </c>
      <c r="B7" s="111" t="s">
        <v>15</v>
      </c>
    </row>
    <row r="8" spans="1:2" ht="15.75">
      <c r="A8" s="110" t="s">
        <v>16</v>
      </c>
      <c r="B8" s="111" t="s">
        <v>17</v>
      </c>
    </row>
    <row r="9" spans="1:2" ht="15.75">
      <c r="A9" s="110" t="s">
        <v>18</v>
      </c>
      <c r="B9" s="111" t="s">
        <v>19</v>
      </c>
    </row>
    <row r="10" spans="1:2" ht="15.75">
      <c r="A10" s="110" t="s">
        <v>20</v>
      </c>
      <c r="B10" s="111" t="s">
        <v>21</v>
      </c>
    </row>
    <row r="11" spans="1:2" ht="15.75">
      <c r="A11" s="112" t="s">
        <v>22</v>
      </c>
    </row>
    <row r="12" spans="1:2" ht="15.75">
      <c r="A12" s="113" t="s">
        <v>23</v>
      </c>
      <c r="B12" s="114"/>
    </row>
    <row r="13" spans="1:2" ht="15.75">
      <c r="A13" s="110" t="s">
        <v>24</v>
      </c>
      <c r="B13" s="110" t="s">
        <v>7</v>
      </c>
    </row>
    <row r="14" spans="1:2" ht="15.75">
      <c r="A14" s="110" t="s">
        <v>25</v>
      </c>
      <c r="B14" s="111" t="s">
        <v>26</v>
      </c>
    </row>
    <row r="15" spans="1:2" ht="15.75">
      <c r="A15" s="110" t="s">
        <v>27</v>
      </c>
      <c r="B15" s="111" t="s">
        <v>26</v>
      </c>
    </row>
    <row r="16" spans="1:2" ht="15.75">
      <c r="A16" s="110" t="s">
        <v>28</v>
      </c>
      <c r="B16" s="111" t="s">
        <v>29</v>
      </c>
    </row>
    <row r="17" spans="1:2" ht="15.75">
      <c r="A17" s="110" t="s">
        <v>30</v>
      </c>
      <c r="B17" s="111" t="s">
        <v>31</v>
      </c>
    </row>
    <row r="18" spans="1:2" ht="15.75">
      <c r="A18" s="110" t="s">
        <v>32</v>
      </c>
      <c r="B18" s="111" t="s">
        <v>33</v>
      </c>
    </row>
    <row r="19" spans="1:2" ht="15.75">
      <c r="A19" s="110" t="s">
        <v>34</v>
      </c>
      <c r="B19" s="111" t="s">
        <v>35</v>
      </c>
    </row>
    <row r="20" spans="1:2" ht="15.75">
      <c r="A20" s="110" t="s">
        <v>36</v>
      </c>
      <c r="B20" s="111" t="s">
        <v>37</v>
      </c>
    </row>
  </sheetData>
  <mergeCells count="2">
    <mergeCell ref="A2:B2"/>
    <mergeCell ref="A12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500"/>
  <sheetViews>
    <sheetView zoomScaleNormal="100" workbookViewId="0"/>
  </sheetViews>
  <sheetFormatPr defaultColWidth="11.42578125" defaultRowHeight="12.75"/>
  <cols>
    <col min="1" max="1" width="52.42578125" customWidth="1"/>
    <col min="2" max="2" width="13.42578125" customWidth="1"/>
    <col min="3" max="3" width="0.7109375" customWidth="1"/>
    <col min="4" max="4" width="24.28515625" bestFit="1" customWidth="1"/>
  </cols>
  <sheetData>
    <row r="1" spans="1:50" ht="15">
      <c r="A1" s="12" t="s">
        <v>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ht="15">
      <c r="A2" s="9" t="s">
        <v>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ht="15">
      <c r="A4" s="15" t="s">
        <v>40</v>
      </c>
      <c r="B4" s="12"/>
      <c r="C4" s="12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ht="27.95" customHeight="1">
      <c r="A5" s="16"/>
      <c r="B5" s="91" t="s">
        <v>41</v>
      </c>
      <c r="C5" s="92" t="s">
        <v>42</v>
      </c>
      <c r="D5" s="91" t="s">
        <v>43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ht="15">
      <c r="A6" s="17" t="s">
        <v>44</v>
      </c>
      <c r="B6" s="13"/>
      <c r="C6" s="18"/>
      <c r="D6" s="13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ht="14.25">
      <c r="A7" s="19" t="s">
        <v>45</v>
      </c>
      <c r="B7" s="30">
        <v>0.16877771391323901</v>
      </c>
      <c r="C7" s="20"/>
      <c r="D7" s="30">
        <v>0.17481295223444701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ht="14.25">
      <c r="A8" s="19" t="s">
        <v>46</v>
      </c>
      <c r="B8" s="30">
        <v>0.14349112868574099</v>
      </c>
      <c r="C8" s="20"/>
      <c r="D8" s="30">
        <v>0.14772501977847999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15">
      <c r="A9" s="12" t="s">
        <v>47</v>
      </c>
      <c r="B9" s="14"/>
      <c r="C9" s="14"/>
      <c r="D9" s="14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ht="14.25">
      <c r="A10" s="21" t="s">
        <v>48</v>
      </c>
      <c r="B10" s="22">
        <v>2.73109031256651</v>
      </c>
      <c r="C10" s="22"/>
      <c r="D10" s="22">
        <v>2.80693047777274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14.25">
      <c r="A11" s="21" t="s">
        <v>49</v>
      </c>
      <c r="B11" s="22">
        <v>2.34456331256651</v>
      </c>
      <c r="C11" s="22"/>
      <c r="D11" s="22">
        <v>2.4035794777727402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ht="15">
      <c r="A12" s="12" t="s">
        <v>50</v>
      </c>
      <c r="B12" s="14"/>
      <c r="C12" s="14"/>
      <c r="D12" s="14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ht="14.25">
      <c r="A13" s="21" t="s">
        <v>51</v>
      </c>
      <c r="B13" s="23">
        <v>1.24122291723637E-2</v>
      </c>
      <c r="C13" s="23"/>
      <c r="D13" s="23">
        <v>1.2930292419183901E-2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ht="14.25">
      <c r="A14" s="21" t="s">
        <v>52</v>
      </c>
      <c r="B14" s="23">
        <v>9.2525648776156707E-3</v>
      </c>
      <c r="C14" s="23"/>
      <c r="D14" s="23">
        <v>9.5422385263367795E-3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ht="14.25">
      <c r="A15" s="21" t="s">
        <v>53</v>
      </c>
      <c r="B15" s="24">
        <v>1680.5360566598299</v>
      </c>
      <c r="C15" s="24"/>
      <c r="D15" s="24">
        <v>1750.6784906917601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ht="14.25">
      <c r="A16" s="21" t="s">
        <v>54</v>
      </c>
      <c r="B16" s="24">
        <v>1252.7378182831601</v>
      </c>
      <c r="C16" s="24"/>
      <c r="D16" s="24">
        <v>1291.95776859023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ht="15">
      <c r="A17" s="12" t="s">
        <v>55</v>
      </c>
      <c r="B17" s="14"/>
      <c r="C17" s="14"/>
      <c r="D17" s="14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ht="14.25">
      <c r="A18" s="21" t="s">
        <v>56</v>
      </c>
      <c r="B18" s="25">
        <v>-0.373219488009224</v>
      </c>
      <c r="C18" s="25"/>
      <c r="D18" s="25">
        <v>-0.38639492024481498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ht="14.25">
      <c r="A19" s="21" t="s">
        <v>57</v>
      </c>
      <c r="B19" s="26">
        <v>-3.1150957942008999E-3</v>
      </c>
      <c r="C19" s="25"/>
      <c r="D19" s="26">
        <v>-3.3151972293853798E-3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ht="14.25">
      <c r="A20" s="27" t="s">
        <v>58</v>
      </c>
      <c r="B20" s="28">
        <v>0.63700000000000001</v>
      </c>
      <c r="C20" s="93"/>
      <c r="D20" s="28">
        <v>0.65852601156069301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>
      <c r="A21" s="29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spans="1:50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spans="1:50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 spans="1:50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 spans="1:50"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494"/>
  <sheetViews>
    <sheetView zoomScaleNormal="290" workbookViewId="0"/>
  </sheetViews>
  <sheetFormatPr defaultColWidth="11.42578125" defaultRowHeight="12.75"/>
  <cols>
    <col min="1" max="1" width="13.85546875" customWidth="1"/>
    <col min="2" max="7" width="20.42578125" customWidth="1"/>
  </cols>
  <sheetData>
    <row r="1" spans="1:50" ht="15">
      <c r="A1" s="9" t="s">
        <v>59</v>
      </c>
      <c r="B1" s="39"/>
      <c r="C1" s="39"/>
      <c r="D1" s="39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ht="15">
      <c r="A2" s="39" t="s">
        <v>60</v>
      </c>
      <c r="B2" s="39"/>
      <c r="C2" s="39"/>
      <c r="D2" s="39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ht="15">
      <c r="A3" s="39" t="s">
        <v>61</v>
      </c>
      <c r="B3" s="39"/>
      <c r="C3" s="39"/>
      <c r="D3" s="39"/>
      <c r="E3" s="37"/>
      <c r="F3" s="37"/>
      <c r="G3" s="37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ht="14.25">
      <c r="A4" s="36"/>
      <c r="B4" s="38"/>
      <c r="C4" s="38"/>
      <c r="D4" s="11"/>
      <c r="E4" s="37"/>
      <c r="F4" s="37"/>
      <c r="G4" s="37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ht="14.25">
      <c r="A5" s="45"/>
      <c r="B5" s="42"/>
      <c r="C5" s="42"/>
      <c r="D5" s="41"/>
      <c r="E5" s="46"/>
      <c r="F5" s="46"/>
      <c r="G5" s="46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ht="15">
      <c r="A6" s="44"/>
      <c r="B6" s="104" t="s">
        <v>62</v>
      </c>
      <c r="C6" s="104"/>
      <c r="D6" s="104" t="s">
        <v>63</v>
      </c>
      <c r="E6" s="104"/>
      <c r="F6" s="104" t="s">
        <v>64</v>
      </c>
      <c r="G6" s="104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ht="15">
      <c r="A7" s="47"/>
      <c r="B7" s="42" t="s">
        <v>65</v>
      </c>
      <c r="C7" s="42" t="s">
        <v>66</v>
      </c>
      <c r="D7" s="42" t="s">
        <v>65</v>
      </c>
      <c r="E7" s="42" t="s">
        <v>66</v>
      </c>
      <c r="F7" s="42" t="s">
        <v>65</v>
      </c>
      <c r="G7" s="42" t="s">
        <v>66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ht="14.25">
      <c r="A8" s="94" t="s">
        <v>67</v>
      </c>
      <c r="B8" s="40"/>
      <c r="C8" s="40"/>
      <c r="D8" s="32"/>
      <c r="E8" s="32"/>
      <c r="F8" s="40"/>
      <c r="G8" s="4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14.25">
      <c r="A9" s="43" t="s">
        <v>68</v>
      </c>
      <c r="B9" s="40">
        <v>24.021794237034701</v>
      </c>
      <c r="C9" s="40">
        <v>22.834332862651699</v>
      </c>
      <c r="D9" s="32">
        <v>0.133808291343845</v>
      </c>
      <c r="E9" s="32">
        <v>8.5930556350059806E-2</v>
      </c>
      <c r="F9" s="40">
        <v>3.2143152418710299</v>
      </c>
      <c r="G9" s="40">
        <v>1.9621669267701101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ht="14.25">
      <c r="A10" s="43" t="s">
        <v>69</v>
      </c>
      <c r="B10" s="40">
        <v>8.1243365414908197</v>
      </c>
      <c r="C10" s="40">
        <v>5.3196446700509696</v>
      </c>
      <c r="D10" s="32">
        <v>0.12563817739953401</v>
      </c>
      <c r="E10" s="32">
        <v>0.158246279881369</v>
      </c>
      <c r="F10" s="40">
        <v>1.0207268356533401</v>
      </c>
      <c r="G10" s="40">
        <v>0.84181397932631996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14.25">
      <c r="A11" s="43" t="s">
        <v>70</v>
      </c>
      <c r="B11" s="40">
        <v>12.7801017320835</v>
      </c>
      <c r="C11" s="40">
        <v>11.136663552645301</v>
      </c>
      <c r="D11" s="32">
        <v>0.157378472382499</v>
      </c>
      <c r="E11" s="32">
        <v>0.18694521502408101</v>
      </c>
      <c r="F11" s="40">
        <v>2.01131288748822</v>
      </c>
      <c r="G11" s="40">
        <v>2.0819459625001202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ht="14.25">
      <c r="A12" s="33" t="s">
        <v>71</v>
      </c>
      <c r="B12" s="34">
        <v>14.08396381383</v>
      </c>
      <c r="C12" s="34">
        <v>12.3843541756649</v>
      </c>
      <c r="D12" s="35">
        <v>0.58317505887412202</v>
      </c>
      <c r="E12" s="35">
        <v>0.56887794874449005</v>
      </c>
      <c r="F12" s="34">
        <v>8.2134164263112996</v>
      </c>
      <c r="G12" s="34">
        <v>7.0451859999775204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ht="15">
      <c r="A13" s="48" t="s">
        <v>72</v>
      </c>
      <c r="B13" s="31">
        <v>14.459771391323899</v>
      </c>
      <c r="C13" s="31">
        <v>11.9311128685741</v>
      </c>
      <c r="D13" s="49">
        <v>1</v>
      </c>
      <c r="E13" s="49">
        <v>1</v>
      </c>
      <c r="F13" s="31">
        <v>14.459771391323899</v>
      </c>
      <c r="G13" s="31">
        <v>11.9311128685741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ht="14.25">
      <c r="A14" s="94" t="s">
        <v>73</v>
      </c>
      <c r="B14" s="40"/>
      <c r="C14" s="40"/>
      <c r="D14" s="32"/>
      <c r="E14" s="32"/>
      <c r="F14" s="40"/>
      <c r="G14" s="4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ht="14.25">
      <c r="A15" s="43" t="s">
        <v>68</v>
      </c>
      <c r="B15" s="40">
        <v>24.021794237034701</v>
      </c>
      <c r="C15" s="40">
        <v>22.8498637956618</v>
      </c>
      <c r="D15" s="32">
        <v>0.133808291343845</v>
      </c>
      <c r="E15" s="32">
        <v>8.9214354703867599E-2</v>
      </c>
      <c r="F15" s="40">
        <v>3.2143152418710299</v>
      </c>
      <c r="G15" s="40">
        <v>2.0385358536012301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ht="14.25">
      <c r="A16" s="43" t="s">
        <v>69</v>
      </c>
      <c r="B16" s="40">
        <v>8.1243365414908197</v>
      </c>
      <c r="C16" s="40">
        <v>5.3045373775516298</v>
      </c>
      <c r="D16" s="32">
        <v>0.12563817739953401</v>
      </c>
      <c r="E16" s="32">
        <v>0.16075139358853199</v>
      </c>
      <c r="F16" s="40">
        <v>1.0207268356533401</v>
      </c>
      <c r="G16" s="40">
        <v>0.85271177578388002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ht="14.25">
      <c r="A17" s="43" t="s">
        <v>70</v>
      </c>
      <c r="B17" s="40">
        <v>12.7801017320835</v>
      </c>
      <c r="C17" s="40">
        <v>11.1278456161034</v>
      </c>
      <c r="D17" s="32">
        <v>0.157378472382499</v>
      </c>
      <c r="E17" s="32">
        <v>0.19020449064252001</v>
      </c>
      <c r="F17" s="40">
        <v>2.01131288748822</v>
      </c>
      <c r="G17" s="40">
        <v>2.1165662073595501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ht="14.25">
      <c r="A18" s="33" t="s">
        <v>71</v>
      </c>
      <c r="B18" s="34">
        <v>15.1188568925669</v>
      </c>
      <c r="C18" s="34">
        <v>13.1230753562052</v>
      </c>
      <c r="D18" s="35">
        <v>0.58317505887412202</v>
      </c>
      <c r="E18" s="35">
        <v>0.55982976106508098</v>
      </c>
      <c r="F18" s="34">
        <v>8.8169402584321492</v>
      </c>
      <c r="G18" s="34">
        <v>7.34668814110338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ht="15">
      <c r="A19" s="48" t="s">
        <v>72</v>
      </c>
      <c r="B19" s="31">
        <v>15.063295223444699</v>
      </c>
      <c r="C19" s="31">
        <v>12.354501977848001</v>
      </c>
      <c r="D19" s="49">
        <v>1</v>
      </c>
      <c r="E19" s="49">
        <v>1</v>
      </c>
      <c r="F19" s="31">
        <v>15.063295223444699</v>
      </c>
      <c r="G19" s="31">
        <v>12.354501977848001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ht="14.25">
      <c r="A20" s="36"/>
      <c r="B20" s="38"/>
      <c r="C20" s="38"/>
      <c r="D20" s="11"/>
      <c r="E20" s="37"/>
      <c r="F20" s="37"/>
      <c r="G20" s="37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ht="14.25">
      <c r="A21" s="36"/>
      <c r="B21" s="38"/>
      <c r="C21" s="38"/>
      <c r="D21" s="11"/>
      <c r="E21" s="37"/>
      <c r="F21" s="37"/>
      <c r="G21" s="37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ht="14.25">
      <c r="A22" s="36"/>
      <c r="B22" s="38"/>
      <c r="C22" s="38"/>
      <c r="D22" s="11"/>
      <c r="E22" s="37"/>
      <c r="F22" s="37"/>
      <c r="G22" s="37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ht="14.25">
      <c r="A23" s="36"/>
      <c r="B23" s="38"/>
      <c r="C23" s="38"/>
      <c r="D23" s="11"/>
      <c r="E23" s="37"/>
      <c r="F23" s="37"/>
      <c r="G23" s="37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ht="14.25">
      <c r="A24" s="36"/>
      <c r="B24" s="38"/>
      <c r="C24" s="38"/>
      <c r="D24" s="11"/>
      <c r="E24" s="37"/>
      <c r="F24" s="37"/>
      <c r="G24" s="37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ht="14.25">
      <c r="A25" s="36"/>
      <c r="B25" s="38"/>
      <c r="C25" s="38"/>
      <c r="D25" s="11"/>
      <c r="E25" s="37"/>
      <c r="F25" s="37"/>
      <c r="G25" s="37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 ht="14.25">
      <c r="A26" s="36"/>
      <c r="B26" s="38"/>
      <c r="C26" s="38"/>
      <c r="D26" s="11"/>
      <c r="E26" s="37"/>
      <c r="F26" s="37"/>
      <c r="G26" s="37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 ht="14.25">
      <c r="A27" s="36"/>
      <c r="B27" s="38"/>
      <c r="C27" s="38"/>
      <c r="D27" s="11"/>
      <c r="E27" s="37"/>
      <c r="F27" s="37"/>
      <c r="G27" s="37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 ht="14.25">
      <c r="A28" s="36"/>
      <c r="B28" s="38"/>
      <c r="C28" s="38"/>
      <c r="D28" s="11"/>
      <c r="E28" s="37"/>
      <c r="F28" s="37"/>
      <c r="G28" s="37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ht="14.25">
      <c r="A29" s="36"/>
      <c r="B29" s="38"/>
      <c r="C29" s="38"/>
      <c r="D29" s="11"/>
      <c r="E29" s="37"/>
      <c r="F29" s="37"/>
      <c r="G29" s="37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ht="14.25">
      <c r="A30" s="36"/>
      <c r="B30" s="38"/>
      <c r="C30" s="38"/>
      <c r="D30" s="11"/>
      <c r="E30" s="37"/>
      <c r="F30" s="37"/>
      <c r="G30" s="37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ht="14.25">
      <c r="A31" s="36"/>
      <c r="B31" s="38"/>
      <c r="C31" s="38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ht="14.25">
      <c r="A32" s="36"/>
      <c r="B32" s="38"/>
      <c r="C32" s="38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 ht="14.25">
      <c r="A33" s="36"/>
      <c r="B33" s="38"/>
      <c r="C33" s="38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</sheetData>
  <mergeCells count="3">
    <mergeCell ref="B6:C6"/>
    <mergeCell ref="D6:E6"/>
    <mergeCell ref="F6:G6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500"/>
  <sheetViews>
    <sheetView zoomScaleNormal="100" workbookViewId="0"/>
  </sheetViews>
  <sheetFormatPr defaultColWidth="11.42578125" defaultRowHeight="12.75"/>
  <cols>
    <col min="1" max="1" width="7.7109375" customWidth="1"/>
    <col min="2" max="2" width="13.85546875" customWidth="1"/>
    <col min="3" max="3" width="19" customWidth="1"/>
    <col min="4" max="4" width="21.140625" customWidth="1"/>
    <col min="5" max="5" width="18.28515625" customWidth="1"/>
    <col min="6" max="6" width="20.28515625" customWidth="1"/>
  </cols>
  <sheetData>
    <row r="1" spans="1:50" ht="15">
      <c r="A1" s="9" t="s">
        <v>74</v>
      </c>
      <c r="B1" s="39"/>
      <c r="C1" s="39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ht="15">
      <c r="A2" s="39" t="s">
        <v>75</v>
      </c>
      <c r="B2" s="39"/>
      <c r="C2" s="39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ht="15">
      <c r="A3" s="39" t="s">
        <v>76</v>
      </c>
      <c r="B3" s="39"/>
      <c r="C3" s="39"/>
      <c r="D3" s="37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ht="14.25">
      <c r="A4" s="39"/>
      <c r="B4" s="39"/>
      <c r="C4" s="39"/>
      <c r="D4" s="3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ht="60" customHeight="1">
      <c r="A5" s="51" t="s">
        <v>77</v>
      </c>
      <c r="B5" s="52" t="s">
        <v>78</v>
      </c>
      <c r="C5" s="52" t="s">
        <v>79</v>
      </c>
      <c r="D5" s="50" t="s">
        <v>80</v>
      </c>
      <c r="E5" s="52" t="s">
        <v>81</v>
      </c>
      <c r="F5" s="50" t="s">
        <v>82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ht="13.35" customHeight="1">
      <c r="A6" s="54">
        <v>1790</v>
      </c>
      <c r="B6" s="57">
        <v>12.5</v>
      </c>
      <c r="C6" s="57"/>
      <c r="D6" s="38">
        <v>14.772501977848</v>
      </c>
      <c r="E6" s="57"/>
      <c r="F6" s="38">
        <v>17.4812952234447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ht="14.25">
      <c r="A7" s="55">
        <v>1791</v>
      </c>
      <c r="B7" s="38">
        <v>10</v>
      </c>
      <c r="C7" s="38"/>
      <c r="D7" s="38">
        <v>14.772501977848</v>
      </c>
      <c r="E7" s="38"/>
      <c r="F7" s="38">
        <v>17.4812952234447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ht="13.35" customHeight="1">
      <c r="A8" s="55">
        <v>1792</v>
      </c>
      <c r="B8" s="38">
        <v>15.63</v>
      </c>
      <c r="C8" s="38"/>
      <c r="D8" s="38">
        <v>14.772501977848</v>
      </c>
      <c r="E8" s="38"/>
      <c r="F8" s="38">
        <v>17.4812952234447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13.35" customHeight="1">
      <c r="A9" s="55">
        <v>1793</v>
      </c>
      <c r="B9" s="38">
        <v>22.58</v>
      </c>
      <c r="C9" s="38"/>
      <c r="D9" s="38">
        <v>14.772501977848</v>
      </c>
      <c r="E9" s="38"/>
      <c r="F9" s="38">
        <v>17.4812952234447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ht="14.25">
      <c r="A10" s="55">
        <v>1794</v>
      </c>
      <c r="B10" s="38">
        <v>30</v>
      </c>
      <c r="C10" s="38"/>
      <c r="D10" s="38">
        <v>14.772501977848</v>
      </c>
      <c r="E10" s="38"/>
      <c r="F10" s="38">
        <v>17.4812952234447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14.25">
      <c r="A11" s="55">
        <v>1795</v>
      </c>
      <c r="B11" s="38">
        <v>17.46</v>
      </c>
      <c r="C11" s="38"/>
      <c r="D11" s="38">
        <v>14.772501977848</v>
      </c>
      <c r="E11" s="38"/>
      <c r="F11" s="38">
        <v>17.4812952234447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ht="14.25">
      <c r="A12" s="55">
        <v>1796</v>
      </c>
      <c r="B12" s="38">
        <v>22.81</v>
      </c>
      <c r="C12" s="38"/>
      <c r="D12" s="38">
        <v>14.772501977848</v>
      </c>
      <c r="E12" s="38"/>
      <c r="F12" s="38">
        <v>17.4812952234447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ht="14.25">
      <c r="A13" s="55">
        <v>1797</v>
      </c>
      <c r="B13" s="38">
        <v>24</v>
      </c>
      <c r="C13" s="38"/>
      <c r="D13" s="38">
        <v>14.772501977848</v>
      </c>
      <c r="E13" s="38"/>
      <c r="F13" s="38">
        <v>17.4812952234447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ht="14.25">
      <c r="A14" s="55">
        <v>1798</v>
      </c>
      <c r="B14" s="38">
        <v>31.58</v>
      </c>
      <c r="C14" s="38"/>
      <c r="D14" s="38">
        <v>14.772501977848</v>
      </c>
      <c r="E14" s="38"/>
      <c r="F14" s="38">
        <v>17.4812952234447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ht="14.25">
      <c r="A15" s="55">
        <v>1799</v>
      </c>
      <c r="B15" s="38">
        <v>44.44</v>
      </c>
      <c r="C15" s="38"/>
      <c r="D15" s="38">
        <v>14.772501977848</v>
      </c>
      <c r="E15" s="38"/>
      <c r="F15" s="38">
        <v>17.4812952234447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ht="14.25">
      <c r="A16" s="55">
        <v>1800</v>
      </c>
      <c r="B16" s="38">
        <v>29.63</v>
      </c>
      <c r="C16" s="38"/>
      <c r="D16" s="38">
        <v>14.772501977848</v>
      </c>
      <c r="E16" s="38"/>
      <c r="F16" s="38">
        <v>17.4812952234447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ht="14.25">
      <c r="A17" s="55">
        <v>1801</v>
      </c>
      <c r="B17" s="38">
        <v>29.85</v>
      </c>
      <c r="C17" s="38"/>
      <c r="D17" s="38">
        <v>14.772501977848</v>
      </c>
      <c r="E17" s="38"/>
      <c r="F17" s="38">
        <v>17.4812952234447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ht="14.25">
      <c r="A18" s="55">
        <v>1802</v>
      </c>
      <c r="B18" s="38">
        <v>34.880000000000003</v>
      </c>
      <c r="C18" s="38"/>
      <c r="D18" s="38">
        <v>14.772501977848</v>
      </c>
      <c r="E18" s="38"/>
      <c r="F18" s="38">
        <v>17.4812952234447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ht="14.25">
      <c r="A19" s="55">
        <v>1803</v>
      </c>
      <c r="B19" s="38">
        <v>26.92</v>
      </c>
      <c r="C19" s="38"/>
      <c r="D19" s="38">
        <v>14.772501977848</v>
      </c>
      <c r="E19" s="38"/>
      <c r="F19" s="38">
        <v>17.4812952234447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ht="14.25">
      <c r="A20" s="55">
        <v>1804</v>
      </c>
      <c r="B20" s="38">
        <v>41.18</v>
      </c>
      <c r="C20" s="38"/>
      <c r="D20" s="38">
        <v>14.772501977848</v>
      </c>
      <c r="E20" s="38"/>
      <c r="F20" s="38">
        <v>17.4812952234447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ht="14.25">
      <c r="A21" s="55">
        <v>1805</v>
      </c>
      <c r="B21" s="38">
        <v>33.33</v>
      </c>
      <c r="C21" s="38"/>
      <c r="D21" s="38">
        <v>14.772501977848</v>
      </c>
      <c r="E21" s="38"/>
      <c r="F21" s="38">
        <v>17.4812952234447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ht="14.25">
      <c r="A22" s="55">
        <v>1806</v>
      </c>
      <c r="B22" s="38">
        <v>34.21</v>
      </c>
      <c r="C22" s="38"/>
      <c r="D22" s="38">
        <v>14.772501977848</v>
      </c>
      <c r="E22" s="38"/>
      <c r="F22" s="38">
        <v>17.4812952234447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ht="14.25">
      <c r="A23" s="55">
        <v>1807</v>
      </c>
      <c r="B23" s="38">
        <v>31.76</v>
      </c>
      <c r="C23" s="38"/>
      <c r="D23" s="38">
        <v>14.772501977848</v>
      </c>
      <c r="E23" s="38"/>
      <c r="F23" s="38">
        <v>17.4812952234447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ht="14.25">
      <c r="A24" s="55">
        <v>1808</v>
      </c>
      <c r="B24" s="38">
        <v>24.44</v>
      </c>
      <c r="C24" s="38"/>
      <c r="D24" s="38">
        <v>14.772501977848</v>
      </c>
      <c r="E24" s="38"/>
      <c r="F24" s="38">
        <v>17.4812952234447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ht="14.25">
      <c r="A25" s="55">
        <v>1809</v>
      </c>
      <c r="B25" s="38">
        <v>30</v>
      </c>
      <c r="C25" s="38"/>
      <c r="D25" s="38">
        <v>14.772501977848</v>
      </c>
      <c r="E25" s="38"/>
      <c r="F25" s="38">
        <v>17.4812952234447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 ht="14.25">
      <c r="A26" s="55">
        <v>1810</v>
      </c>
      <c r="B26" s="38">
        <v>26.15</v>
      </c>
      <c r="C26" s="38"/>
      <c r="D26" s="38">
        <v>14.772501977848</v>
      </c>
      <c r="E26" s="38"/>
      <c r="F26" s="38">
        <v>17.4812952234447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 ht="14.25">
      <c r="A27" s="55">
        <v>1811</v>
      </c>
      <c r="B27" s="38">
        <v>23.81</v>
      </c>
      <c r="C27" s="38"/>
      <c r="D27" s="38">
        <v>14.772501977848</v>
      </c>
      <c r="E27" s="38"/>
      <c r="F27" s="38">
        <v>17.4812952234447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 ht="14.25">
      <c r="A28" s="55">
        <v>1812</v>
      </c>
      <c r="B28" s="38">
        <v>21.43</v>
      </c>
      <c r="C28" s="38"/>
      <c r="D28" s="38">
        <v>14.772501977848</v>
      </c>
      <c r="E28" s="38"/>
      <c r="F28" s="38">
        <v>17.4812952234447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ht="14.25">
      <c r="A29" s="55">
        <v>1813</v>
      </c>
      <c r="B29" s="38">
        <v>36.840000000000003</v>
      </c>
      <c r="C29" s="38"/>
      <c r="D29" s="38">
        <v>14.772501977848</v>
      </c>
      <c r="E29" s="38"/>
      <c r="F29" s="38">
        <v>17.4812952234447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ht="14.25">
      <c r="A30" s="55">
        <v>1814</v>
      </c>
      <c r="B30" s="38">
        <v>30.77</v>
      </c>
      <c r="C30" s="38"/>
      <c r="D30" s="38">
        <v>14.772501977848</v>
      </c>
      <c r="E30" s="38"/>
      <c r="F30" s="38">
        <v>17.4812952234447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ht="14.25">
      <c r="A31" s="55">
        <v>1815</v>
      </c>
      <c r="B31" s="38">
        <v>48.1</v>
      </c>
      <c r="C31" s="38"/>
      <c r="D31" s="38">
        <v>14.772501977848</v>
      </c>
      <c r="E31" s="38"/>
      <c r="F31" s="38">
        <v>17.4812952234447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ht="14.25">
      <c r="A32" s="55">
        <v>1816</v>
      </c>
      <c r="B32" s="38">
        <v>24.63</v>
      </c>
      <c r="C32" s="38"/>
      <c r="D32" s="38">
        <v>14.772501977848</v>
      </c>
      <c r="E32" s="38"/>
      <c r="F32" s="38">
        <v>17.4812952234447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 ht="14.25">
      <c r="A33" s="55">
        <v>1817</v>
      </c>
      <c r="B33" s="38">
        <v>26.83</v>
      </c>
      <c r="C33" s="38"/>
      <c r="D33" s="38">
        <v>14.772501977848</v>
      </c>
      <c r="E33" s="38"/>
      <c r="F33" s="38">
        <v>17.4812952234447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 ht="14.25">
      <c r="A34" s="55">
        <v>1818</v>
      </c>
      <c r="B34" s="38">
        <v>24.07</v>
      </c>
      <c r="C34" s="38"/>
      <c r="D34" s="38">
        <v>14.772501977848</v>
      </c>
      <c r="E34" s="38"/>
      <c r="F34" s="38">
        <v>17.4812952234447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 ht="14.25">
      <c r="A35" s="55">
        <v>1819</v>
      </c>
      <c r="B35" s="38">
        <v>28.38</v>
      </c>
      <c r="C35" s="38"/>
      <c r="D35" s="38">
        <v>14.772501977848</v>
      </c>
      <c r="E35" s="38"/>
      <c r="F35" s="38">
        <v>17.4812952234447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 ht="14.25">
      <c r="A36" s="55">
        <v>1820</v>
      </c>
      <c r="B36" s="38">
        <v>29.82</v>
      </c>
      <c r="C36" s="38"/>
      <c r="D36" s="38">
        <v>14.772501977848</v>
      </c>
      <c r="E36" s="38"/>
      <c r="F36" s="38">
        <v>17.4812952234447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ht="14.25">
      <c r="A37" s="55">
        <v>1821</v>
      </c>
      <c r="B37" s="38">
        <v>43.21</v>
      </c>
      <c r="C37" s="38"/>
      <c r="D37" s="38">
        <v>14.772501977848</v>
      </c>
      <c r="E37" s="38"/>
      <c r="F37" s="38">
        <v>17.4812952234447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ht="14.25">
      <c r="A38" s="55">
        <v>1822</v>
      </c>
      <c r="B38" s="38">
        <v>35.229999999999997</v>
      </c>
      <c r="C38" s="38"/>
      <c r="D38" s="38">
        <v>14.772501977848</v>
      </c>
      <c r="E38" s="38"/>
      <c r="F38" s="38">
        <v>17.4812952234447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ht="14.25">
      <c r="A39" s="55">
        <v>1823</v>
      </c>
      <c r="B39" s="38">
        <v>43.69</v>
      </c>
      <c r="C39" s="38"/>
      <c r="D39" s="38">
        <v>14.772501977848</v>
      </c>
      <c r="E39" s="38"/>
      <c r="F39" s="38">
        <v>17.4812952234447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 ht="14.25">
      <c r="A40" s="55">
        <v>1824</v>
      </c>
      <c r="B40" s="38">
        <v>47.39</v>
      </c>
      <c r="C40" s="38"/>
      <c r="D40" s="38">
        <v>14.772501977848</v>
      </c>
      <c r="E40" s="38"/>
      <c r="F40" s="38">
        <v>17.4812952234447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 ht="14.25">
      <c r="A41" s="55">
        <v>1825</v>
      </c>
      <c r="B41" s="38">
        <v>47.72</v>
      </c>
      <c r="C41" s="38"/>
      <c r="D41" s="38">
        <v>14.772501977848</v>
      </c>
      <c r="E41" s="38"/>
      <c r="F41" s="38">
        <v>17.4812952234447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ht="14.25">
      <c r="A42" s="55">
        <v>1826</v>
      </c>
      <c r="B42" s="38">
        <v>45.28</v>
      </c>
      <c r="C42" s="38"/>
      <c r="D42" s="38">
        <v>14.772501977848</v>
      </c>
      <c r="E42" s="38"/>
      <c r="F42" s="38">
        <v>17.4812952234447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ht="14.25">
      <c r="A43" s="55">
        <v>1827</v>
      </c>
      <c r="B43" s="38">
        <v>50.93</v>
      </c>
      <c r="C43" s="38"/>
      <c r="D43" s="38">
        <v>14.772501977848</v>
      </c>
      <c r="E43" s="38"/>
      <c r="F43" s="38">
        <v>17.4812952234447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ht="14.25">
      <c r="A44" s="55">
        <v>1828</v>
      </c>
      <c r="B44" s="38">
        <v>44.74</v>
      </c>
      <c r="C44" s="38"/>
      <c r="D44" s="38">
        <v>14.772501977848</v>
      </c>
      <c r="E44" s="38"/>
      <c r="F44" s="38">
        <v>17.4812952234447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ht="14.25">
      <c r="A45" s="55">
        <v>1829</v>
      </c>
      <c r="B45" s="38">
        <v>50.73</v>
      </c>
      <c r="C45" s="38"/>
      <c r="D45" s="38">
        <v>14.772501977848</v>
      </c>
      <c r="E45" s="38"/>
      <c r="F45" s="38">
        <v>17.4812952234447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ht="14.25">
      <c r="A46" s="55">
        <v>1830</v>
      </c>
      <c r="B46" s="38">
        <v>57.32</v>
      </c>
      <c r="C46" s="38"/>
      <c r="D46" s="38">
        <v>14.772501977848</v>
      </c>
      <c r="E46" s="38"/>
      <c r="F46" s="38">
        <v>17.4812952234447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ht="14.25">
      <c r="A47" s="55">
        <v>1831</v>
      </c>
      <c r="B47" s="38">
        <v>44.23</v>
      </c>
      <c r="C47" s="38"/>
      <c r="D47" s="38">
        <v>14.772501977848</v>
      </c>
      <c r="E47" s="38"/>
      <c r="F47" s="38">
        <v>17.4812952234447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ht="14.25">
      <c r="A48" s="55">
        <v>1832</v>
      </c>
      <c r="B48" s="38">
        <v>38.97</v>
      </c>
      <c r="C48" s="38"/>
      <c r="D48" s="38">
        <v>14.772501977848</v>
      </c>
      <c r="E48" s="38"/>
      <c r="F48" s="38">
        <v>17.4812952234447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ht="14.25">
      <c r="A49" s="55">
        <v>1833</v>
      </c>
      <c r="B49" s="38">
        <v>28.99</v>
      </c>
      <c r="C49" s="38"/>
      <c r="D49" s="38">
        <v>14.772501977848</v>
      </c>
      <c r="E49" s="38"/>
      <c r="F49" s="38">
        <v>17.4812952234447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ht="14.25">
      <c r="A50" s="55">
        <v>1834</v>
      </c>
      <c r="B50" s="38">
        <v>21.83</v>
      </c>
      <c r="C50" s="38"/>
      <c r="D50" s="38">
        <v>14.772501977848</v>
      </c>
      <c r="E50" s="38"/>
      <c r="F50" s="38">
        <v>17.4812952234447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 ht="14.25">
      <c r="A51" s="55">
        <v>1835</v>
      </c>
      <c r="B51" s="38">
        <v>21.25</v>
      </c>
      <c r="C51" s="38"/>
      <c r="D51" s="38">
        <v>14.772501977848</v>
      </c>
      <c r="E51" s="38"/>
      <c r="F51" s="38">
        <v>17.4812952234447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 ht="14.25">
      <c r="A52" s="55">
        <v>1836</v>
      </c>
      <c r="B52" s="38">
        <v>19.510000000000002</v>
      </c>
      <c r="C52" s="38"/>
      <c r="D52" s="38">
        <v>14.772501977848</v>
      </c>
      <c r="E52" s="38"/>
      <c r="F52" s="38">
        <v>17.4812952234447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 ht="14.25">
      <c r="A53" s="55">
        <v>1837</v>
      </c>
      <c r="B53" s="38">
        <v>16.05</v>
      </c>
      <c r="C53" s="38"/>
      <c r="D53" s="38">
        <v>14.772501977848</v>
      </c>
      <c r="E53" s="38"/>
      <c r="F53" s="38">
        <v>17.4812952234447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 ht="14.25">
      <c r="A54" s="55">
        <v>1838</v>
      </c>
      <c r="B54" s="38">
        <v>23.11</v>
      </c>
      <c r="C54" s="38"/>
      <c r="D54" s="38">
        <v>14.772501977848</v>
      </c>
      <c r="E54" s="38"/>
      <c r="F54" s="38">
        <v>17.4812952234447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 ht="14.25">
      <c r="A55" s="55">
        <v>1839</v>
      </c>
      <c r="B55" s="38">
        <v>17.57</v>
      </c>
      <c r="C55" s="38"/>
      <c r="D55" s="38">
        <v>14.772501977848</v>
      </c>
      <c r="E55" s="38"/>
      <c r="F55" s="38">
        <v>17.4812952234447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 ht="14.25">
      <c r="A56" s="55">
        <v>1840</v>
      </c>
      <c r="B56" s="38">
        <v>17.600000000000001</v>
      </c>
      <c r="C56" s="38"/>
      <c r="D56" s="38">
        <v>14.772501977848</v>
      </c>
      <c r="E56" s="38"/>
      <c r="F56" s="38">
        <v>17.4812952234447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 ht="14.25">
      <c r="A57" s="55">
        <v>1841</v>
      </c>
      <c r="B57" s="38">
        <v>17.37</v>
      </c>
      <c r="C57" s="38"/>
      <c r="D57" s="38">
        <v>14.772501977848</v>
      </c>
      <c r="E57" s="38"/>
      <c r="F57" s="38">
        <v>17.4812952234447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 ht="14.25">
      <c r="A58" s="55">
        <v>1842</v>
      </c>
      <c r="B58" s="38">
        <v>18.96</v>
      </c>
      <c r="C58" s="38"/>
      <c r="D58" s="38">
        <v>14.772501977848</v>
      </c>
      <c r="E58" s="38"/>
      <c r="F58" s="38">
        <v>17.4812952234447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 ht="14.25">
      <c r="A59" s="55">
        <v>1843</v>
      </c>
      <c r="B59" s="38">
        <v>20.13</v>
      </c>
      <c r="C59" s="38"/>
      <c r="D59" s="38">
        <v>14.772501977848</v>
      </c>
      <c r="E59" s="38"/>
      <c r="F59" s="38">
        <v>17.4812952234447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 ht="14.25">
      <c r="A60" s="55">
        <v>1844</v>
      </c>
      <c r="B60" s="38">
        <v>30.5</v>
      </c>
      <c r="C60" s="38"/>
      <c r="D60" s="38">
        <v>14.772501977848</v>
      </c>
      <c r="E60" s="38"/>
      <c r="F60" s="38">
        <v>17.4812952234447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 ht="14.25">
      <c r="A61" s="55">
        <v>1845</v>
      </c>
      <c r="B61" s="38">
        <v>29.34</v>
      </c>
      <c r="C61" s="38"/>
      <c r="D61" s="38">
        <v>14.772501977848</v>
      </c>
      <c r="E61" s="38"/>
      <c r="F61" s="38">
        <v>17.4812952234447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 ht="14.25">
      <c r="A62" s="55">
        <v>1846</v>
      </c>
      <c r="B62" s="38">
        <v>27.7</v>
      </c>
      <c r="C62" s="38"/>
      <c r="D62" s="38">
        <v>14.772501977848</v>
      </c>
      <c r="E62" s="38"/>
      <c r="F62" s="38">
        <v>17.4812952234447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 ht="14.25">
      <c r="A63" s="55">
        <v>1847</v>
      </c>
      <c r="B63" s="38">
        <v>24.2</v>
      </c>
      <c r="C63" s="38"/>
      <c r="D63" s="38">
        <v>14.772501977848</v>
      </c>
      <c r="E63" s="38"/>
      <c r="F63" s="38">
        <v>17.4812952234447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 ht="14.25">
      <c r="A64" s="55">
        <v>1848</v>
      </c>
      <c r="B64" s="38">
        <v>23.49</v>
      </c>
      <c r="C64" s="38"/>
      <c r="D64" s="38">
        <v>14.772501977848</v>
      </c>
      <c r="E64" s="38"/>
      <c r="F64" s="38">
        <v>17.4812952234447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 ht="14.25">
      <c r="A65" s="55">
        <v>1849</v>
      </c>
      <c r="B65" s="38">
        <v>23.41</v>
      </c>
      <c r="C65" s="38"/>
      <c r="D65" s="38">
        <v>14.772501977848</v>
      </c>
      <c r="E65" s="38"/>
      <c r="F65" s="38">
        <v>17.4812952234447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 ht="14.25">
      <c r="A66" s="55">
        <v>1850</v>
      </c>
      <c r="B66" s="38">
        <v>24.5</v>
      </c>
      <c r="C66" s="38"/>
      <c r="D66" s="38">
        <v>14.772501977848</v>
      </c>
      <c r="E66" s="38"/>
      <c r="F66" s="38">
        <v>17.4812952234447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 ht="14.25">
      <c r="A67" s="55">
        <v>1851</v>
      </c>
      <c r="B67" s="38">
        <v>24.26</v>
      </c>
      <c r="C67" s="38"/>
      <c r="D67" s="38">
        <v>14.772501977848</v>
      </c>
      <c r="E67" s="38"/>
      <c r="F67" s="38">
        <v>17.4812952234447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 ht="14.25">
      <c r="A68" s="55">
        <v>1852</v>
      </c>
      <c r="B68" s="38">
        <v>24.35</v>
      </c>
      <c r="C68" s="38"/>
      <c r="D68" s="38">
        <v>14.772501977848</v>
      </c>
      <c r="E68" s="38"/>
      <c r="F68" s="38">
        <v>17.4812952234447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 ht="14.25">
      <c r="A69" s="55">
        <v>1853</v>
      </c>
      <c r="B69" s="38">
        <v>23.37</v>
      </c>
      <c r="C69" s="38"/>
      <c r="D69" s="38">
        <v>14.772501977848</v>
      </c>
      <c r="E69" s="38"/>
      <c r="F69" s="38">
        <v>17.4812952234447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 ht="14.25">
      <c r="A70" s="55">
        <v>1854</v>
      </c>
      <c r="B70" s="38">
        <v>23.52</v>
      </c>
      <c r="C70" s="38"/>
      <c r="D70" s="38">
        <v>14.772501977848</v>
      </c>
      <c r="E70" s="38"/>
      <c r="F70" s="38">
        <v>17.4812952234447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 ht="14.25">
      <c r="A71" s="55">
        <v>1855</v>
      </c>
      <c r="B71" s="38">
        <v>23.36</v>
      </c>
      <c r="C71" s="38"/>
      <c r="D71" s="38">
        <v>14.772501977848</v>
      </c>
      <c r="E71" s="38"/>
      <c r="F71" s="38">
        <v>17.4812952234447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 ht="14.25">
      <c r="A72" s="55">
        <v>1856</v>
      </c>
      <c r="B72" s="38">
        <v>21.68</v>
      </c>
      <c r="C72" s="38"/>
      <c r="D72" s="38">
        <v>14.772501977848</v>
      </c>
      <c r="E72" s="38"/>
      <c r="F72" s="38">
        <v>17.4812952234447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 ht="14.25">
      <c r="A73" s="55">
        <v>1857</v>
      </c>
      <c r="B73" s="38">
        <v>19.09</v>
      </c>
      <c r="C73" s="38"/>
      <c r="D73" s="38">
        <v>14.772501977848</v>
      </c>
      <c r="E73" s="38"/>
      <c r="F73" s="38">
        <v>17.4812952234447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 ht="14.25">
      <c r="A74" s="55">
        <v>1858</v>
      </c>
      <c r="B74" s="38">
        <v>17.329999999999998</v>
      </c>
      <c r="C74" s="38"/>
      <c r="D74" s="38">
        <v>14.772501977848</v>
      </c>
      <c r="E74" s="38"/>
      <c r="F74" s="38">
        <v>17.4812952234447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 ht="14.25">
      <c r="A75" s="55">
        <v>1859</v>
      </c>
      <c r="B75" s="38">
        <v>15.43</v>
      </c>
      <c r="C75" s="38"/>
      <c r="D75" s="38">
        <v>14.772501977848</v>
      </c>
      <c r="E75" s="38"/>
      <c r="F75" s="38">
        <v>17.4812952234447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 ht="14.25">
      <c r="A76" s="55">
        <v>1860</v>
      </c>
      <c r="B76" s="38">
        <v>15.67</v>
      </c>
      <c r="C76" s="38"/>
      <c r="D76" s="38">
        <v>14.772501977848</v>
      </c>
      <c r="E76" s="38"/>
      <c r="F76" s="38">
        <v>17.4812952234447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 ht="14.25">
      <c r="A77" s="55">
        <v>1861</v>
      </c>
      <c r="B77" s="38">
        <v>14.21</v>
      </c>
      <c r="C77" s="38"/>
      <c r="D77" s="38">
        <v>14.772501977848</v>
      </c>
      <c r="E77" s="38"/>
      <c r="F77" s="38">
        <v>17.4812952234447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 ht="14.25">
      <c r="A78" s="55">
        <v>1862</v>
      </c>
      <c r="B78" s="38">
        <v>26.08</v>
      </c>
      <c r="C78" s="38"/>
      <c r="D78" s="38">
        <v>14.772501977848</v>
      </c>
      <c r="E78" s="38"/>
      <c r="F78" s="38">
        <v>17.4812952234447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 ht="14.25">
      <c r="A79" s="55">
        <v>1863</v>
      </c>
      <c r="B79" s="38">
        <v>28.28</v>
      </c>
      <c r="C79" s="38"/>
      <c r="D79" s="38">
        <v>14.772501977848</v>
      </c>
      <c r="E79" s="38"/>
      <c r="F79" s="38">
        <v>17.4812952234447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 ht="14.25">
      <c r="A80" s="55">
        <v>1864</v>
      </c>
      <c r="B80" s="38">
        <v>32.04</v>
      </c>
      <c r="C80" s="38"/>
      <c r="D80" s="38">
        <v>14.772501977848</v>
      </c>
      <c r="E80" s="38"/>
      <c r="F80" s="38">
        <v>17.4812952234447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 ht="14.25">
      <c r="A81" s="55">
        <v>1865</v>
      </c>
      <c r="B81" s="38">
        <v>38.46</v>
      </c>
      <c r="C81" s="38"/>
      <c r="D81" s="38">
        <v>14.772501977848</v>
      </c>
      <c r="E81" s="38"/>
      <c r="F81" s="38">
        <v>17.4812952234447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 ht="14.25">
      <c r="A82" s="55">
        <v>1866</v>
      </c>
      <c r="B82" s="38">
        <v>41.81</v>
      </c>
      <c r="C82" s="38"/>
      <c r="D82" s="38">
        <v>14.772501977848</v>
      </c>
      <c r="E82" s="38"/>
      <c r="F82" s="38">
        <v>17.4812952234447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 ht="14.25">
      <c r="A83" s="55">
        <v>1867</v>
      </c>
      <c r="B83" s="38">
        <v>44.56</v>
      </c>
      <c r="C83" s="38"/>
      <c r="D83" s="38">
        <v>14.772501977848</v>
      </c>
      <c r="E83" s="38"/>
      <c r="F83" s="38">
        <v>17.4812952234447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 ht="14.25">
      <c r="A84" s="55">
        <v>1868</v>
      </c>
      <c r="B84" s="38">
        <v>46.56</v>
      </c>
      <c r="C84" s="38"/>
      <c r="D84" s="38">
        <v>14.772501977848</v>
      </c>
      <c r="E84" s="38"/>
      <c r="F84" s="38">
        <v>17.4812952234447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 ht="14.25">
      <c r="A85" s="55">
        <v>1869</v>
      </c>
      <c r="B85" s="38">
        <v>44.76</v>
      </c>
      <c r="C85" s="38"/>
      <c r="D85" s="38">
        <v>14.772501977848</v>
      </c>
      <c r="E85" s="38"/>
      <c r="F85" s="38">
        <v>17.4812952234447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 ht="14.25">
      <c r="A86" s="55">
        <v>1870</v>
      </c>
      <c r="B86" s="38">
        <v>44.89</v>
      </c>
      <c r="C86" s="38"/>
      <c r="D86" s="38">
        <v>14.772501977848</v>
      </c>
      <c r="E86" s="38"/>
      <c r="F86" s="38">
        <v>17.4812952234447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 ht="14.25">
      <c r="A87" s="55">
        <v>1871</v>
      </c>
      <c r="B87" s="38">
        <v>40.51</v>
      </c>
      <c r="C87" s="38"/>
      <c r="D87" s="38">
        <v>14.772501977848</v>
      </c>
      <c r="E87" s="38"/>
      <c r="F87" s="38">
        <v>17.4812952234447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 ht="14.25">
      <c r="A88" s="55">
        <v>1872</v>
      </c>
      <c r="B88" s="38">
        <v>37.99</v>
      </c>
      <c r="C88" s="38"/>
      <c r="D88" s="38">
        <v>14.772501977848</v>
      </c>
      <c r="E88" s="38"/>
      <c r="F88" s="38">
        <v>17.4812952234447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 ht="14.25">
      <c r="A89" s="55">
        <v>1873</v>
      </c>
      <c r="B89" s="38">
        <v>27.9</v>
      </c>
      <c r="C89" s="38"/>
      <c r="D89" s="38">
        <v>14.772501977848</v>
      </c>
      <c r="E89" s="38"/>
      <c r="F89" s="38">
        <v>17.4812952234447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 ht="14.25">
      <c r="A90" s="55">
        <v>1874</v>
      </c>
      <c r="B90" s="38">
        <v>28.29</v>
      </c>
      <c r="C90" s="38"/>
      <c r="D90" s="38">
        <v>14.772501977848</v>
      </c>
      <c r="E90" s="38"/>
      <c r="F90" s="38">
        <v>17.4812952234447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 ht="14.25">
      <c r="A91" s="55">
        <v>1875</v>
      </c>
      <c r="B91" s="38">
        <v>29.36</v>
      </c>
      <c r="C91" s="38"/>
      <c r="D91" s="38">
        <v>14.772501977848</v>
      </c>
      <c r="E91" s="38"/>
      <c r="F91" s="38">
        <v>17.4812952234447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 ht="14.25">
      <c r="A92" s="55">
        <v>1876</v>
      </c>
      <c r="B92" s="38">
        <v>31.25</v>
      </c>
      <c r="C92" s="38"/>
      <c r="D92" s="38">
        <v>14.772501977848</v>
      </c>
      <c r="E92" s="38"/>
      <c r="F92" s="38">
        <v>17.4812952234447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 ht="14.25">
      <c r="A93" s="55">
        <v>1877</v>
      </c>
      <c r="B93" s="38">
        <v>29.2</v>
      </c>
      <c r="C93" s="38"/>
      <c r="D93" s="38">
        <v>14.772501977848</v>
      </c>
      <c r="E93" s="38"/>
      <c r="F93" s="38">
        <v>17.4812952234447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 ht="14.25">
      <c r="A94" s="55">
        <v>1878</v>
      </c>
      <c r="B94" s="38">
        <v>29</v>
      </c>
      <c r="C94" s="38"/>
      <c r="D94" s="38">
        <v>14.772501977848</v>
      </c>
      <c r="E94" s="38"/>
      <c r="F94" s="38">
        <v>17.4812952234447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 ht="14.25">
      <c r="A95" s="55">
        <v>1879</v>
      </c>
      <c r="B95" s="38">
        <v>30.33</v>
      </c>
      <c r="C95" s="38"/>
      <c r="D95" s="38">
        <v>14.772501977848</v>
      </c>
      <c r="E95" s="38"/>
      <c r="F95" s="38">
        <v>17.4812952234447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 ht="14.25">
      <c r="A96" s="55">
        <v>1880</v>
      </c>
      <c r="B96" s="38">
        <v>29.12</v>
      </c>
      <c r="C96" s="38"/>
      <c r="D96" s="38">
        <v>14.772501977848</v>
      </c>
      <c r="E96" s="38"/>
      <c r="F96" s="38">
        <v>17.4812952234447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 ht="14.25">
      <c r="A97" s="55">
        <v>1881</v>
      </c>
      <c r="B97" s="38">
        <v>29.79</v>
      </c>
      <c r="C97" s="38"/>
      <c r="D97" s="38">
        <v>14.772501977848</v>
      </c>
      <c r="E97" s="38"/>
      <c r="F97" s="38">
        <v>17.4812952234447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 ht="14.25">
      <c r="A98" s="55">
        <v>1882</v>
      </c>
      <c r="B98" s="38">
        <v>30.16</v>
      </c>
      <c r="C98" s="38"/>
      <c r="D98" s="38">
        <v>14.772501977848</v>
      </c>
      <c r="E98" s="38"/>
      <c r="F98" s="38">
        <v>17.4812952234447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 ht="14.25">
      <c r="A99" s="55">
        <v>1883</v>
      </c>
      <c r="B99" s="38">
        <v>30.04</v>
      </c>
      <c r="C99" s="38"/>
      <c r="D99" s="38">
        <v>14.772501977848</v>
      </c>
      <c r="E99" s="38"/>
      <c r="F99" s="38">
        <v>17.4812952234447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 ht="14.25">
      <c r="A100" s="55">
        <v>1884</v>
      </c>
      <c r="B100" s="38">
        <v>28.5</v>
      </c>
      <c r="C100" s="38"/>
      <c r="D100" s="38">
        <v>14.772501977848</v>
      </c>
      <c r="E100" s="38"/>
      <c r="F100" s="38">
        <v>17.4812952234447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 ht="14.25">
      <c r="A101" s="55">
        <v>1885</v>
      </c>
      <c r="B101" s="38">
        <v>30.75</v>
      </c>
      <c r="C101" s="38"/>
      <c r="D101" s="38">
        <v>14.772501977848</v>
      </c>
      <c r="E101" s="38"/>
      <c r="F101" s="38">
        <v>17.4812952234447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 ht="14.25">
      <c r="A102" s="55">
        <v>1886</v>
      </c>
      <c r="B102" s="38">
        <v>30.35</v>
      </c>
      <c r="C102" s="38"/>
      <c r="D102" s="38">
        <v>14.772501977848</v>
      </c>
      <c r="E102" s="38"/>
      <c r="F102" s="38">
        <v>17.4812952234447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 ht="14.25">
      <c r="A103" s="55">
        <v>1887</v>
      </c>
      <c r="B103" s="38">
        <v>31.52</v>
      </c>
      <c r="C103" s="38"/>
      <c r="D103" s="38">
        <v>14.772501977848</v>
      </c>
      <c r="E103" s="38"/>
      <c r="F103" s="38">
        <v>17.4812952234447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 ht="14.25">
      <c r="A104" s="55">
        <v>1888</v>
      </c>
      <c r="B104" s="38">
        <v>30.55</v>
      </c>
      <c r="C104" s="38"/>
      <c r="D104" s="38">
        <v>14.772501977848</v>
      </c>
      <c r="E104" s="38"/>
      <c r="F104" s="38">
        <v>17.4812952234447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 ht="14.25">
      <c r="A105" s="55">
        <v>1889</v>
      </c>
      <c r="B105" s="38">
        <v>30.02</v>
      </c>
      <c r="C105" s="38"/>
      <c r="D105" s="38">
        <v>14.772501977848</v>
      </c>
      <c r="E105" s="38"/>
      <c r="F105" s="38">
        <v>17.4812952234447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 ht="14.25">
      <c r="A106" s="55">
        <v>1890</v>
      </c>
      <c r="B106" s="38">
        <v>29.59</v>
      </c>
      <c r="C106" s="38"/>
      <c r="D106" s="38">
        <v>14.772501977848</v>
      </c>
      <c r="E106" s="38"/>
      <c r="F106" s="38">
        <v>17.4812952234447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 ht="14.25">
      <c r="A107" s="55">
        <v>1891</v>
      </c>
      <c r="B107" s="38">
        <v>25.65</v>
      </c>
      <c r="C107" s="38"/>
      <c r="D107" s="38">
        <v>14.772501977848</v>
      </c>
      <c r="E107" s="38"/>
      <c r="F107" s="38">
        <v>17.4812952234447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 ht="14.25">
      <c r="A108" s="55">
        <v>1892</v>
      </c>
      <c r="B108" s="38">
        <v>21.65</v>
      </c>
      <c r="C108" s="38"/>
      <c r="D108" s="38">
        <v>14.772501977848</v>
      </c>
      <c r="E108" s="38"/>
      <c r="F108" s="38">
        <v>17.4812952234447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 ht="14.25">
      <c r="A109" s="55">
        <v>1893</v>
      </c>
      <c r="B109" s="38">
        <v>23.91</v>
      </c>
      <c r="C109" s="38"/>
      <c r="D109" s="38">
        <v>14.772501977848</v>
      </c>
      <c r="E109" s="38"/>
      <c r="F109" s="38">
        <v>17.4812952234447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 ht="14.25">
      <c r="A110" s="55">
        <v>1894</v>
      </c>
      <c r="B110" s="38">
        <v>20.56</v>
      </c>
      <c r="C110" s="38"/>
      <c r="D110" s="38">
        <v>14.772501977848</v>
      </c>
      <c r="E110" s="38"/>
      <c r="F110" s="38">
        <v>17.4812952234447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 ht="14.25">
      <c r="A111" s="55">
        <v>1895</v>
      </c>
      <c r="B111" s="38">
        <v>20.440000000000001</v>
      </c>
      <c r="C111" s="38"/>
      <c r="D111" s="38">
        <v>14.772501977848</v>
      </c>
      <c r="E111" s="38"/>
      <c r="F111" s="38">
        <v>17.4812952234447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 ht="14.25">
      <c r="A112" s="55">
        <v>1896</v>
      </c>
      <c r="B112" s="38">
        <v>20.67</v>
      </c>
      <c r="C112" s="38"/>
      <c r="D112" s="38">
        <v>14.772501977848</v>
      </c>
      <c r="E112" s="38"/>
      <c r="F112" s="38">
        <v>17.4812952234447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 ht="14.25">
      <c r="A113" s="55">
        <v>1897</v>
      </c>
      <c r="B113" s="38">
        <v>21.89</v>
      </c>
      <c r="C113" s="38"/>
      <c r="D113" s="38">
        <v>14.772501977848</v>
      </c>
      <c r="E113" s="38"/>
      <c r="F113" s="38">
        <v>17.4812952234447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 ht="14.25">
      <c r="A114" s="55">
        <v>1898</v>
      </c>
      <c r="B114" s="38">
        <v>24.77</v>
      </c>
      <c r="C114" s="38"/>
      <c r="D114" s="38">
        <v>14.772501977848</v>
      </c>
      <c r="E114" s="38"/>
      <c r="F114" s="38">
        <v>17.4812952234447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 ht="14.25">
      <c r="A115" s="55">
        <v>1899</v>
      </c>
      <c r="B115" s="38">
        <v>29.48</v>
      </c>
      <c r="C115" s="38"/>
      <c r="D115" s="38">
        <v>14.772501977848</v>
      </c>
      <c r="E115" s="38"/>
      <c r="F115" s="38">
        <v>17.4812952234447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 ht="14.25">
      <c r="A116" s="55">
        <v>1900</v>
      </c>
      <c r="B116" s="38">
        <v>27.62</v>
      </c>
      <c r="C116" s="38"/>
      <c r="D116" s="38">
        <v>14.772501977848</v>
      </c>
      <c r="E116" s="38"/>
      <c r="F116" s="38">
        <v>17.4812952234447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 ht="14.25">
      <c r="A117" s="55">
        <v>1901</v>
      </c>
      <c r="B117" s="38">
        <v>28.91</v>
      </c>
      <c r="C117" s="38"/>
      <c r="D117" s="38">
        <v>14.772501977848</v>
      </c>
      <c r="E117" s="38"/>
      <c r="F117" s="38">
        <v>17.4812952234447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 ht="14.25">
      <c r="A118" s="55">
        <v>1902</v>
      </c>
      <c r="B118" s="38">
        <v>27.95</v>
      </c>
      <c r="C118" s="38"/>
      <c r="D118" s="38">
        <v>14.772501977848</v>
      </c>
      <c r="E118" s="38"/>
      <c r="F118" s="38">
        <v>17.4812952234447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 ht="14.25">
      <c r="A119" s="55">
        <v>1903</v>
      </c>
      <c r="B119" s="38">
        <v>27.85</v>
      </c>
      <c r="C119" s="38"/>
      <c r="D119" s="38">
        <v>14.772501977848</v>
      </c>
      <c r="E119" s="38"/>
      <c r="F119" s="38">
        <v>17.4812952234447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 ht="14.25">
      <c r="A120" s="55">
        <v>1904</v>
      </c>
      <c r="B120" s="38">
        <v>26.29</v>
      </c>
      <c r="C120" s="38"/>
      <c r="D120" s="38">
        <v>14.772501977848</v>
      </c>
      <c r="E120" s="38"/>
      <c r="F120" s="38">
        <v>17.4812952234447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 ht="14.25">
      <c r="A121" s="55">
        <v>1905</v>
      </c>
      <c r="B121" s="38">
        <v>23.77</v>
      </c>
      <c r="C121" s="38"/>
      <c r="D121" s="38">
        <v>14.772501977848</v>
      </c>
      <c r="E121" s="38"/>
      <c r="F121" s="38">
        <v>17.4812952234447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 ht="14.25">
      <c r="A122" s="55">
        <v>1906</v>
      </c>
      <c r="B122" s="38">
        <v>24.22</v>
      </c>
      <c r="C122" s="38"/>
      <c r="D122" s="38">
        <v>14.772501977848</v>
      </c>
      <c r="E122" s="38"/>
      <c r="F122" s="38">
        <v>17.4812952234447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 ht="14.25">
      <c r="A123" s="55">
        <v>1907</v>
      </c>
      <c r="B123" s="38">
        <v>23.28</v>
      </c>
      <c r="C123" s="38"/>
      <c r="D123" s="38">
        <v>14.772501977848</v>
      </c>
      <c r="E123" s="38"/>
      <c r="F123" s="38">
        <v>17.4812952234447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 ht="14.25">
      <c r="A124" s="55">
        <v>1908</v>
      </c>
      <c r="B124" s="38">
        <v>23.88</v>
      </c>
      <c r="C124" s="38"/>
      <c r="D124" s="38">
        <v>14.772501977848</v>
      </c>
      <c r="E124" s="38"/>
      <c r="F124" s="38">
        <v>17.4812952234447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 ht="14.25">
      <c r="A125" s="55">
        <v>1909</v>
      </c>
      <c r="B125" s="38">
        <v>22.99</v>
      </c>
      <c r="C125" s="38"/>
      <c r="D125" s="38">
        <v>14.772501977848</v>
      </c>
      <c r="E125" s="38"/>
      <c r="F125" s="38">
        <v>17.4812952234447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 ht="14.25">
      <c r="A126" s="55">
        <v>1910</v>
      </c>
      <c r="B126" s="38">
        <v>21.11</v>
      </c>
      <c r="C126" s="38"/>
      <c r="D126" s="38">
        <v>14.772501977848</v>
      </c>
      <c r="E126" s="38"/>
      <c r="F126" s="38">
        <v>17.4812952234447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 ht="14.25">
      <c r="A127" s="55">
        <v>1911</v>
      </c>
      <c r="B127" s="38">
        <v>20.29</v>
      </c>
      <c r="C127" s="38"/>
      <c r="D127" s="38">
        <v>14.772501977848</v>
      </c>
      <c r="E127" s="38"/>
      <c r="F127" s="38">
        <v>17.4812952234447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 ht="14.25">
      <c r="A128" s="55">
        <v>1912</v>
      </c>
      <c r="B128" s="38">
        <v>18.579999999999998</v>
      </c>
      <c r="C128" s="38"/>
      <c r="D128" s="38">
        <v>14.772501977848</v>
      </c>
      <c r="E128" s="38"/>
      <c r="F128" s="38">
        <v>17.4812952234447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 ht="14.25">
      <c r="A129" s="55">
        <v>1913</v>
      </c>
      <c r="B129" s="38">
        <v>17.690000000000001</v>
      </c>
      <c r="C129" s="38"/>
      <c r="D129" s="38">
        <v>14.772501977848</v>
      </c>
      <c r="E129" s="38"/>
      <c r="F129" s="38">
        <v>17.4812952234447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 ht="14.25">
      <c r="A130" s="55">
        <v>1914</v>
      </c>
      <c r="B130" s="38">
        <v>14.88</v>
      </c>
      <c r="C130" s="38"/>
      <c r="D130" s="38">
        <v>14.772501977848</v>
      </c>
      <c r="E130" s="38"/>
      <c r="F130" s="38">
        <v>17.4812952234447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 ht="14.25">
      <c r="A131" s="55">
        <v>1915</v>
      </c>
      <c r="B131" s="38">
        <v>12.49</v>
      </c>
      <c r="C131" s="38"/>
      <c r="D131" s="38">
        <v>14.772501977848</v>
      </c>
      <c r="E131" s="38"/>
      <c r="F131" s="38">
        <v>17.4812952234447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 ht="14.25">
      <c r="A132" s="55">
        <v>1916</v>
      </c>
      <c r="B132" s="38">
        <v>9.08</v>
      </c>
      <c r="C132" s="38"/>
      <c r="D132" s="38">
        <v>14.772501977848</v>
      </c>
      <c r="E132" s="38"/>
      <c r="F132" s="38">
        <v>17.4812952234447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 ht="14.25">
      <c r="A133" s="55">
        <v>1917</v>
      </c>
      <c r="B133" s="38">
        <v>7.01</v>
      </c>
      <c r="C133" s="38"/>
      <c r="D133" s="38">
        <v>14.772501977848</v>
      </c>
      <c r="E133" s="38"/>
      <c r="F133" s="38">
        <v>17.4812952234447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 ht="14.25">
      <c r="A134" s="55">
        <v>1918</v>
      </c>
      <c r="B134" s="38">
        <v>5.79</v>
      </c>
      <c r="C134" s="38"/>
      <c r="D134" s="38">
        <v>14.772501977848</v>
      </c>
      <c r="E134" s="38"/>
      <c r="F134" s="38">
        <v>17.4812952234447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 ht="14.25">
      <c r="A135" s="55">
        <v>1919</v>
      </c>
      <c r="B135" s="38">
        <v>6.2</v>
      </c>
      <c r="C135" s="38"/>
      <c r="D135" s="38">
        <v>14.772501977848</v>
      </c>
      <c r="E135" s="38"/>
      <c r="F135" s="38">
        <v>17.4812952234447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 ht="14.25">
      <c r="A136" s="55">
        <v>1920</v>
      </c>
      <c r="B136" s="38">
        <v>6.38</v>
      </c>
      <c r="C136" s="38"/>
      <c r="D136" s="38">
        <v>14.772501977848</v>
      </c>
      <c r="E136" s="38"/>
      <c r="F136" s="38">
        <v>17.4812952234447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 ht="14.25">
      <c r="A137" s="55">
        <v>1921</v>
      </c>
      <c r="B137" s="38">
        <v>11.44</v>
      </c>
      <c r="C137" s="38"/>
      <c r="D137" s="38">
        <v>14.772501977848</v>
      </c>
      <c r="E137" s="38"/>
      <c r="F137" s="38">
        <v>17.4812952234447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 ht="14.25">
      <c r="A138" s="55">
        <v>1922</v>
      </c>
      <c r="B138" s="38">
        <v>14.68</v>
      </c>
      <c r="C138" s="38"/>
      <c r="D138" s="38">
        <v>14.772501977848</v>
      </c>
      <c r="E138" s="38"/>
      <c r="F138" s="38">
        <v>17.4812952234447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 ht="14.25">
      <c r="A139" s="55">
        <v>1923</v>
      </c>
      <c r="B139" s="38">
        <v>15.18</v>
      </c>
      <c r="C139" s="38"/>
      <c r="D139" s="38">
        <v>14.772501977848</v>
      </c>
      <c r="E139" s="38"/>
      <c r="F139" s="38">
        <v>17.4812952234447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 ht="14.25">
      <c r="A140" s="55">
        <v>1924</v>
      </c>
      <c r="B140" s="38">
        <v>14.89</v>
      </c>
      <c r="C140" s="38"/>
      <c r="D140" s="38">
        <v>14.772501977848</v>
      </c>
      <c r="E140" s="38"/>
      <c r="F140" s="38">
        <v>17.4812952234447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 ht="14.25">
      <c r="A141" s="55">
        <v>1925</v>
      </c>
      <c r="B141" s="38">
        <v>13.21</v>
      </c>
      <c r="C141" s="38"/>
      <c r="D141" s="38">
        <v>14.772501977848</v>
      </c>
      <c r="E141" s="38"/>
      <c r="F141" s="38">
        <v>17.4812952234447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 ht="14.25">
      <c r="A142" s="55">
        <v>1926</v>
      </c>
      <c r="B142" s="38">
        <v>13.39</v>
      </c>
      <c r="C142" s="38"/>
      <c r="D142" s="38">
        <v>14.772501977848</v>
      </c>
      <c r="E142" s="38"/>
      <c r="F142" s="38">
        <v>17.4812952234447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 ht="14.25">
      <c r="A143" s="55">
        <v>1927</v>
      </c>
      <c r="B143" s="38">
        <v>13.81</v>
      </c>
      <c r="C143" s="38"/>
      <c r="D143" s="38">
        <v>14.772501977848</v>
      </c>
      <c r="E143" s="38"/>
      <c r="F143" s="38">
        <v>17.4812952234447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 ht="14.25">
      <c r="A144" s="55">
        <v>1928</v>
      </c>
      <c r="B144" s="38">
        <v>13.3</v>
      </c>
      <c r="C144" s="38"/>
      <c r="D144" s="38">
        <v>14.772501977848</v>
      </c>
      <c r="E144" s="38"/>
      <c r="F144" s="38">
        <v>17.4812952234447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 ht="14.25">
      <c r="A145" s="55">
        <v>1929</v>
      </c>
      <c r="B145" s="38">
        <v>13.48</v>
      </c>
      <c r="C145" s="38"/>
      <c r="D145" s="38">
        <v>14.772501977848</v>
      </c>
      <c r="E145" s="38"/>
      <c r="F145" s="38">
        <v>17.4812952234447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 ht="14.25">
      <c r="A146" s="55">
        <v>1930</v>
      </c>
      <c r="B146" s="38">
        <v>14.83</v>
      </c>
      <c r="C146" s="38"/>
      <c r="D146" s="38">
        <v>14.772501977848</v>
      </c>
      <c r="E146" s="38"/>
      <c r="F146" s="38">
        <v>17.4812952234447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 ht="14.25">
      <c r="A147" s="55">
        <v>1931</v>
      </c>
      <c r="B147" s="38">
        <v>17.75</v>
      </c>
      <c r="C147" s="38"/>
      <c r="D147" s="38">
        <v>14.772501977848</v>
      </c>
      <c r="E147" s="38"/>
      <c r="F147" s="38">
        <v>17.4812952234447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 ht="14.25">
      <c r="A148" s="55">
        <v>1932</v>
      </c>
      <c r="B148" s="38">
        <v>19.59</v>
      </c>
      <c r="C148" s="38"/>
      <c r="D148" s="38">
        <v>14.772501977848</v>
      </c>
      <c r="E148" s="38"/>
      <c r="F148" s="38">
        <v>17.4812952234447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 ht="14.25">
      <c r="A149" s="55">
        <v>1933</v>
      </c>
      <c r="B149" s="38">
        <v>19.8</v>
      </c>
      <c r="C149" s="38"/>
      <c r="D149" s="38">
        <v>14.772501977848</v>
      </c>
      <c r="E149" s="38"/>
      <c r="F149" s="38">
        <v>17.4812952234447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 ht="14.25">
      <c r="A150" s="55">
        <v>1934</v>
      </c>
      <c r="B150" s="38">
        <v>18.41</v>
      </c>
      <c r="C150" s="38"/>
      <c r="D150" s="38">
        <v>14.772501977848</v>
      </c>
      <c r="E150" s="38"/>
      <c r="F150" s="38">
        <v>17.4812952234447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 ht="14.25">
      <c r="A151" s="55">
        <v>1935</v>
      </c>
      <c r="B151" s="38">
        <v>17.52</v>
      </c>
      <c r="C151" s="38"/>
      <c r="D151" s="38">
        <v>14.772501977848</v>
      </c>
      <c r="E151" s="38"/>
      <c r="F151" s="38">
        <v>17.4812952234447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 ht="14.25">
      <c r="A152" s="55">
        <v>1936</v>
      </c>
      <c r="B152" s="38">
        <v>16.84</v>
      </c>
      <c r="C152" s="38"/>
      <c r="D152" s="38">
        <v>14.772501977848</v>
      </c>
      <c r="E152" s="38"/>
      <c r="F152" s="38">
        <v>17.4812952234447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 ht="14.25">
      <c r="A153" s="55">
        <v>1937</v>
      </c>
      <c r="B153" s="38">
        <v>15.63</v>
      </c>
      <c r="C153" s="38"/>
      <c r="D153" s="38">
        <v>14.772501977848</v>
      </c>
      <c r="E153" s="38"/>
      <c r="F153" s="38">
        <v>17.4812952234447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 ht="14.25">
      <c r="A154" s="55">
        <v>1938</v>
      </c>
      <c r="B154" s="38">
        <v>15.46</v>
      </c>
      <c r="C154" s="38"/>
      <c r="D154" s="38">
        <v>14.772501977848</v>
      </c>
      <c r="E154" s="38"/>
      <c r="F154" s="38">
        <v>17.4812952234447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 ht="14.25">
      <c r="A155" s="55">
        <v>1939</v>
      </c>
      <c r="B155" s="38">
        <v>14.41</v>
      </c>
      <c r="C155" s="38"/>
      <c r="D155" s="38">
        <v>14.772501977848</v>
      </c>
      <c r="E155" s="38"/>
      <c r="F155" s="38">
        <v>17.4812952234447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 ht="14.25">
      <c r="A156" s="55">
        <v>1940</v>
      </c>
      <c r="B156" s="38">
        <v>12.51</v>
      </c>
      <c r="C156" s="38"/>
      <c r="D156" s="38">
        <v>14.772501977848</v>
      </c>
      <c r="E156" s="38"/>
      <c r="F156" s="38">
        <v>17.4812952234447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 ht="14.25">
      <c r="A157" s="55">
        <v>1941</v>
      </c>
      <c r="B157" s="38">
        <v>13.59</v>
      </c>
      <c r="C157" s="38"/>
      <c r="D157" s="38">
        <v>14.772501977848</v>
      </c>
      <c r="E157" s="38"/>
      <c r="F157" s="38">
        <v>17.4812952234447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 ht="14.25">
      <c r="A158" s="55">
        <v>1942</v>
      </c>
      <c r="B158" s="38">
        <v>11.51</v>
      </c>
      <c r="C158" s="38"/>
      <c r="D158" s="38">
        <v>14.772501977848</v>
      </c>
      <c r="E158" s="38"/>
      <c r="F158" s="38">
        <v>17.4812952234447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 ht="14.25">
      <c r="A159" s="55">
        <v>1943</v>
      </c>
      <c r="B159" s="38">
        <v>11.57</v>
      </c>
      <c r="C159" s="38"/>
      <c r="D159" s="38">
        <v>14.772501977848</v>
      </c>
      <c r="E159" s="38"/>
      <c r="F159" s="38">
        <v>17.4812952234447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 ht="14.25">
      <c r="A160" s="55">
        <v>1944</v>
      </c>
      <c r="B160" s="38">
        <v>9.4499999999999993</v>
      </c>
      <c r="C160" s="38"/>
      <c r="D160" s="38">
        <v>14.772501977848</v>
      </c>
      <c r="E160" s="38"/>
      <c r="F160" s="38">
        <v>17.4812952234447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 ht="14.25">
      <c r="A161" s="55">
        <v>1945</v>
      </c>
      <c r="B161" s="38">
        <v>9.2899999999999991</v>
      </c>
      <c r="C161" s="38"/>
      <c r="D161" s="38">
        <v>14.772501977848</v>
      </c>
      <c r="E161" s="38"/>
      <c r="F161" s="38">
        <v>17.4812952234447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 ht="14.25">
      <c r="A162" s="55">
        <v>1946</v>
      </c>
      <c r="B162" s="38">
        <v>9.9</v>
      </c>
      <c r="C162" s="38"/>
      <c r="D162" s="38">
        <v>14.772501977848</v>
      </c>
      <c r="E162" s="38"/>
      <c r="F162" s="38">
        <v>17.4812952234447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 ht="14.25">
      <c r="A163" s="55">
        <v>1947</v>
      </c>
      <c r="B163" s="38">
        <v>7.55</v>
      </c>
      <c r="C163" s="38"/>
      <c r="D163" s="38">
        <v>14.772501977848</v>
      </c>
      <c r="E163" s="38"/>
      <c r="F163" s="38">
        <v>17.4812952234447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 ht="14.25">
      <c r="A164" s="55">
        <v>1948</v>
      </c>
      <c r="B164" s="38">
        <v>5.71</v>
      </c>
      <c r="C164" s="38"/>
      <c r="D164" s="38">
        <v>14.772501977848</v>
      </c>
      <c r="E164" s="38"/>
      <c r="F164" s="38">
        <v>17.4812952234447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 ht="14.25">
      <c r="A165" s="55">
        <v>1949</v>
      </c>
      <c r="B165" s="38">
        <v>5.53</v>
      </c>
      <c r="C165" s="38"/>
      <c r="D165" s="38">
        <v>14.772501977848</v>
      </c>
      <c r="E165" s="38"/>
      <c r="F165" s="38">
        <v>17.4812952234447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 ht="14.25">
      <c r="A166" s="55">
        <v>1950</v>
      </c>
      <c r="B166" s="38">
        <v>5.97</v>
      </c>
      <c r="C166" s="38"/>
      <c r="D166" s="38">
        <v>14.772501977848</v>
      </c>
      <c r="E166" s="38"/>
      <c r="F166" s="38">
        <v>17.4812952234447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 ht="14.25">
      <c r="A167" s="55">
        <v>1951</v>
      </c>
      <c r="B167" s="38">
        <v>5.47</v>
      </c>
      <c r="C167" s="38"/>
      <c r="D167" s="38">
        <v>14.772501977848</v>
      </c>
      <c r="E167" s="38"/>
      <c r="F167" s="38">
        <v>17.4812952234447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 ht="14.25">
      <c r="A168" s="55">
        <v>1952</v>
      </c>
      <c r="B168" s="38">
        <v>5.3</v>
      </c>
      <c r="C168" s="38"/>
      <c r="D168" s="38">
        <v>14.772501977848</v>
      </c>
      <c r="E168" s="38"/>
      <c r="F168" s="38">
        <v>17.4812952234447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 ht="14.25">
      <c r="A169" s="55">
        <v>1953</v>
      </c>
      <c r="B169" s="38">
        <v>5.42</v>
      </c>
      <c r="C169" s="38"/>
      <c r="D169" s="38">
        <v>14.772501977848</v>
      </c>
      <c r="E169" s="38"/>
      <c r="F169" s="38">
        <v>17.4812952234447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 ht="14.25">
      <c r="A170" s="55">
        <v>1954</v>
      </c>
      <c r="B170" s="38">
        <v>5.17</v>
      </c>
      <c r="C170" s="38"/>
      <c r="D170" s="38">
        <v>14.772501977848</v>
      </c>
      <c r="E170" s="38"/>
      <c r="F170" s="38">
        <v>17.4812952234447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 ht="14.25">
      <c r="A171" s="55">
        <v>1955</v>
      </c>
      <c r="B171" s="38">
        <v>5.59</v>
      </c>
      <c r="C171" s="38"/>
      <c r="D171" s="38">
        <v>14.772501977848</v>
      </c>
      <c r="E171" s="38"/>
      <c r="F171" s="38">
        <v>17.4812952234447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 ht="14.25">
      <c r="A172" s="55">
        <v>1956</v>
      </c>
      <c r="B172" s="38">
        <v>5.67</v>
      </c>
      <c r="C172" s="38"/>
      <c r="D172" s="38">
        <v>14.772501977848</v>
      </c>
      <c r="E172" s="38"/>
      <c r="F172" s="38">
        <v>17.4812952234447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 ht="14.25">
      <c r="A173" s="55">
        <v>1957</v>
      </c>
      <c r="B173" s="38">
        <v>5.76</v>
      </c>
      <c r="C173" s="38"/>
      <c r="D173" s="38">
        <v>14.772501977848</v>
      </c>
      <c r="E173" s="38"/>
      <c r="F173" s="38">
        <v>17.4812952234447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 ht="14.25">
      <c r="A174" s="55">
        <v>1958</v>
      </c>
      <c r="B174" s="38">
        <v>6.44</v>
      </c>
      <c r="C174" s="38"/>
      <c r="D174" s="38">
        <v>14.772501977848</v>
      </c>
      <c r="E174" s="38"/>
      <c r="F174" s="38">
        <v>17.4812952234447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 ht="14.25">
      <c r="A175" s="55">
        <v>1959</v>
      </c>
      <c r="B175" s="38">
        <v>7.02</v>
      </c>
      <c r="C175" s="38"/>
      <c r="D175" s="38">
        <v>14.772501977848</v>
      </c>
      <c r="E175" s="38"/>
      <c r="F175" s="38">
        <v>17.4812952234447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 ht="14.25">
      <c r="A176" s="55">
        <v>1960</v>
      </c>
      <c r="B176" s="38">
        <v>7.4</v>
      </c>
      <c r="C176" s="38"/>
      <c r="D176" s="38">
        <v>14.772501977848</v>
      </c>
      <c r="E176" s="38"/>
      <c r="F176" s="38">
        <v>17.4812952234447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 ht="14.25">
      <c r="A177" s="55">
        <v>1961</v>
      </c>
      <c r="B177" s="38">
        <v>7.21</v>
      </c>
      <c r="C177" s="38"/>
      <c r="D177" s="38">
        <v>14.772501977848</v>
      </c>
      <c r="E177" s="38"/>
      <c r="F177" s="38">
        <v>17.4812952234447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 ht="14.25">
      <c r="A178" s="55">
        <v>1962</v>
      </c>
      <c r="B178" s="38">
        <v>7.5</v>
      </c>
      <c r="C178" s="38"/>
      <c r="D178" s="38">
        <v>14.772501977848</v>
      </c>
      <c r="E178" s="38"/>
      <c r="F178" s="38">
        <v>17.4812952234447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 ht="14.25">
      <c r="A179" s="55">
        <v>1963</v>
      </c>
      <c r="B179" s="38">
        <v>7.29</v>
      </c>
      <c r="C179" s="38"/>
      <c r="D179" s="38">
        <v>14.772501977848</v>
      </c>
      <c r="E179" s="38"/>
      <c r="F179" s="38">
        <v>17.4812952234447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 ht="14.25">
      <c r="A180" s="55">
        <v>1964</v>
      </c>
      <c r="B180" s="38">
        <v>7.2</v>
      </c>
      <c r="C180" s="38"/>
      <c r="D180" s="38">
        <v>14.772501977848</v>
      </c>
      <c r="E180" s="38"/>
      <c r="F180" s="38">
        <v>17.4812952234447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 ht="14.25">
      <c r="A181" s="55">
        <v>1965</v>
      </c>
      <c r="B181" s="38">
        <v>7.72</v>
      </c>
      <c r="C181" s="38"/>
      <c r="D181" s="38">
        <v>14.772501977848</v>
      </c>
      <c r="E181" s="38"/>
      <c r="F181" s="38">
        <v>17.4812952234447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 ht="14.25">
      <c r="A182" s="55">
        <v>1966</v>
      </c>
      <c r="B182" s="38">
        <v>7.57</v>
      </c>
      <c r="C182" s="38"/>
      <c r="D182" s="38">
        <v>14.772501977848</v>
      </c>
      <c r="E182" s="38"/>
      <c r="F182" s="38">
        <v>17.4812952234447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 ht="14.25">
      <c r="A183" s="55">
        <v>1967</v>
      </c>
      <c r="B183" s="38">
        <v>7.54</v>
      </c>
      <c r="C183" s="38"/>
      <c r="D183" s="38">
        <v>14.772501977848</v>
      </c>
      <c r="E183" s="38"/>
      <c r="F183" s="38">
        <v>17.4812952234447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 ht="14.25">
      <c r="A184" s="55">
        <v>1968</v>
      </c>
      <c r="B184" s="38">
        <v>7.08</v>
      </c>
      <c r="C184" s="38"/>
      <c r="D184" s="38">
        <v>14.772501977848</v>
      </c>
      <c r="E184" s="38"/>
      <c r="F184" s="38">
        <v>17.4812952234447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 ht="14.25">
      <c r="A185" s="55">
        <v>1969</v>
      </c>
      <c r="B185" s="38">
        <v>7.11</v>
      </c>
      <c r="C185" s="38"/>
      <c r="D185" s="38">
        <v>14.772501977848</v>
      </c>
      <c r="E185" s="38"/>
      <c r="F185" s="38">
        <v>17.4812952234447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 ht="14.25">
      <c r="A186" s="55">
        <v>1970</v>
      </c>
      <c r="B186" s="38">
        <v>6.5</v>
      </c>
      <c r="C186" s="38"/>
      <c r="D186" s="38">
        <v>14.772501977848</v>
      </c>
      <c r="E186" s="38"/>
      <c r="F186" s="38">
        <v>17.4812952234447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 ht="14.25">
      <c r="A187" s="55">
        <v>1971</v>
      </c>
      <c r="B187" s="38">
        <v>6.08</v>
      </c>
      <c r="C187" s="38"/>
      <c r="D187" s="38">
        <v>14.772501977848</v>
      </c>
      <c r="E187" s="38"/>
      <c r="F187" s="38">
        <v>17.4812952234447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 ht="14.25">
      <c r="A188" s="55">
        <v>1972</v>
      </c>
      <c r="B188" s="38">
        <v>5.65</v>
      </c>
      <c r="C188" s="38"/>
      <c r="D188" s="38">
        <v>14.772501977848</v>
      </c>
      <c r="E188" s="38"/>
      <c r="F188" s="38">
        <v>17.4812952234447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 ht="14.25">
      <c r="A189" s="55">
        <v>1973</v>
      </c>
      <c r="B189" s="38">
        <v>5.24</v>
      </c>
      <c r="C189" s="38"/>
      <c r="D189" s="38">
        <v>14.772501977848</v>
      </c>
      <c r="E189" s="38"/>
      <c r="F189" s="38">
        <v>17.4812952234447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 ht="14.25">
      <c r="A190" s="55">
        <v>1974</v>
      </c>
      <c r="B190" s="38">
        <v>3.77</v>
      </c>
      <c r="C190" s="38"/>
      <c r="D190" s="38">
        <v>14.772501977848</v>
      </c>
      <c r="E190" s="38"/>
      <c r="F190" s="38">
        <v>17.4812952234447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 ht="14.25">
      <c r="A191" s="55">
        <v>1975</v>
      </c>
      <c r="B191" s="38">
        <v>3.92</v>
      </c>
      <c r="C191" s="38"/>
      <c r="D191" s="38">
        <v>14.772501977848</v>
      </c>
      <c r="E191" s="38"/>
      <c r="F191" s="38">
        <v>17.4812952234447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 ht="14.25">
      <c r="A192" s="55">
        <v>1976</v>
      </c>
      <c r="B192" s="38">
        <v>3.86</v>
      </c>
      <c r="C192" s="38"/>
      <c r="D192" s="38">
        <v>14.772501977848</v>
      </c>
      <c r="E192" s="38"/>
      <c r="F192" s="38">
        <v>17.4812952234447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 ht="14.25">
      <c r="A193" s="55">
        <v>1977</v>
      </c>
      <c r="B193" s="38">
        <v>3.73</v>
      </c>
      <c r="C193" s="38"/>
      <c r="D193" s="38">
        <v>14.772501977848</v>
      </c>
      <c r="E193" s="38"/>
      <c r="F193" s="38">
        <v>17.4812952234447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 ht="14.25">
      <c r="A194" s="55">
        <v>1978</v>
      </c>
      <c r="B194" s="38">
        <v>4.1399999999999997</v>
      </c>
      <c r="C194" s="38"/>
      <c r="D194" s="38">
        <v>14.772501977848</v>
      </c>
      <c r="E194" s="38"/>
      <c r="F194" s="38">
        <v>17.4812952234447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 ht="14.25">
      <c r="A195" s="55">
        <v>1979</v>
      </c>
      <c r="B195" s="38">
        <v>3.5</v>
      </c>
      <c r="C195" s="38"/>
      <c r="D195" s="38">
        <v>14.772501977848</v>
      </c>
      <c r="E195" s="38"/>
      <c r="F195" s="38">
        <v>17.4812952234447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 ht="14.25">
      <c r="A196" s="55">
        <v>1980</v>
      </c>
      <c r="B196" s="38">
        <v>3.09</v>
      </c>
      <c r="C196" s="38"/>
      <c r="D196" s="38">
        <v>14.772501977848</v>
      </c>
      <c r="E196" s="38"/>
      <c r="F196" s="38">
        <v>17.4812952234447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 ht="14.25">
      <c r="A197" s="55">
        <v>1981</v>
      </c>
      <c r="B197" s="38">
        <v>3.43</v>
      </c>
      <c r="C197" s="38"/>
      <c r="D197" s="38">
        <v>14.772501977848</v>
      </c>
      <c r="E197" s="38"/>
      <c r="F197" s="38">
        <v>17.4812952234447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 ht="14.25">
      <c r="A198" s="55">
        <v>1982</v>
      </c>
      <c r="B198" s="38">
        <v>3.4369999999999998</v>
      </c>
      <c r="C198" s="38"/>
      <c r="D198" s="38">
        <v>14.772501977848</v>
      </c>
      <c r="E198" s="38"/>
      <c r="F198" s="38">
        <v>17.4812952234447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 ht="14.25">
      <c r="A199" s="55">
        <v>1983</v>
      </c>
      <c r="B199" s="38">
        <v>3.3330000000000002</v>
      </c>
      <c r="C199" s="38"/>
      <c r="D199" s="38">
        <v>14.772501977848</v>
      </c>
      <c r="E199" s="38"/>
      <c r="F199" s="38">
        <v>17.4812952234447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 ht="14.25">
      <c r="A200" s="55">
        <v>1984</v>
      </c>
      <c r="B200" s="38">
        <v>3.54</v>
      </c>
      <c r="C200" s="38"/>
      <c r="D200" s="38">
        <v>14.772501977848</v>
      </c>
      <c r="E200" s="38"/>
      <c r="F200" s="38">
        <v>17.4812952234447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 ht="14.25">
      <c r="A201" s="55">
        <v>1985</v>
      </c>
      <c r="B201" s="38">
        <v>3.5419999999999998</v>
      </c>
      <c r="C201" s="38"/>
      <c r="D201" s="38">
        <v>14.772501977848</v>
      </c>
      <c r="E201" s="38"/>
      <c r="F201" s="38">
        <v>17.4812952234447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 ht="14.25">
      <c r="A202" s="55">
        <v>1986</v>
      </c>
      <c r="B202" s="38">
        <v>3.7010000000000001</v>
      </c>
      <c r="C202" s="38"/>
      <c r="D202" s="38">
        <v>14.772501977848</v>
      </c>
      <c r="E202" s="38"/>
      <c r="F202" s="38">
        <v>17.4812952234447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 ht="14.25">
      <c r="A203" s="55">
        <v>1987</v>
      </c>
      <c r="B203" s="38">
        <v>3.7229999999999999</v>
      </c>
      <c r="C203" s="38"/>
      <c r="D203" s="38">
        <v>14.772501977848</v>
      </c>
      <c r="E203" s="38"/>
      <c r="F203" s="38">
        <v>17.4812952234447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 ht="14.25">
      <c r="A204" s="55">
        <v>1988</v>
      </c>
      <c r="B204" s="38">
        <v>3.6240000000000001</v>
      </c>
      <c r="C204" s="38"/>
      <c r="D204" s="38">
        <v>14.772501977848</v>
      </c>
      <c r="E204" s="38"/>
      <c r="F204" s="38">
        <v>17.4812952234447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 ht="14.25">
      <c r="A205" s="55">
        <v>1989</v>
      </c>
      <c r="B205" s="38">
        <v>3.5430000000000001</v>
      </c>
      <c r="C205" s="38"/>
      <c r="D205" s="38">
        <v>14.772501977848</v>
      </c>
      <c r="E205" s="38"/>
      <c r="F205" s="38">
        <v>17.4812952234447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 ht="14.25">
      <c r="A206" s="55">
        <v>1990</v>
      </c>
      <c r="B206" s="38">
        <v>3.28</v>
      </c>
      <c r="C206" s="38"/>
      <c r="D206" s="38">
        <v>14.772501977848</v>
      </c>
      <c r="E206" s="38"/>
      <c r="F206" s="38">
        <v>17.4812952234447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 ht="14.25">
      <c r="A207" s="55">
        <v>1991</v>
      </c>
      <c r="B207" s="38">
        <v>3.2320000000000002</v>
      </c>
      <c r="C207" s="38"/>
      <c r="D207" s="38">
        <v>14.772501977848</v>
      </c>
      <c r="E207" s="38"/>
      <c r="F207" s="38">
        <v>17.4812952234447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 ht="14.25">
      <c r="A208" s="55">
        <v>1992</v>
      </c>
      <c r="B208" s="38">
        <v>3.238</v>
      </c>
      <c r="C208" s="38"/>
      <c r="D208" s="38">
        <v>14.772501977848</v>
      </c>
      <c r="E208" s="38"/>
      <c r="F208" s="38">
        <v>17.4812952234447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 ht="14.25">
      <c r="A209" s="55">
        <v>1993</v>
      </c>
      <c r="B209" s="38">
        <v>3.218</v>
      </c>
      <c r="C209" s="38"/>
      <c r="D209" s="38">
        <v>14.772501977848</v>
      </c>
      <c r="E209" s="38"/>
      <c r="F209" s="38">
        <v>17.4812952234447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 ht="14.25">
      <c r="A210" s="55">
        <v>1994</v>
      </c>
      <c r="B210" s="38">
        <v>3.0350000000000001</v>
      </c>
      <c r="C210" s="38"/>
      <c r="D210" s="38">
        <v>14.772501977848</v>
      </c>
      <c r="E210" s="38"/>
      <c r="F210" s="38">
        <v>17.4812952234447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 ht="14.25">
      <c r="A211" s="55">
        <v>1995</v>
      </c>
      <c r="B211" s="38">
        <v>2.468</v>
      </c>
      <c r="C211" s="38"/>
      <c r="D211" s="38">
        <v>14.772501977848</v>
      </c>
      <c r="E211" s="38"/>
      <c r="F211" s="38">
        <v>17.4812952234447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 ht="14.25">
      <c r="A212" s="55">
        <v>1996</v>
      </c>
      <c r="B212" s="38">
        <v>2.2320000000000002</v>
      </c>
      <c r="C212" s="38"/>
      <c r="D212" s="38">
        <v>14.772501977848</v>
      </c>
      <c r="E212" s="38"/>
      <c r="F212" s="38">
        <v>17.4812952234447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 ht="14.25">
      <c r="A213" s="55">
        <v>1997</v>
      </c>
      <c r="B213" s="38">
        <v>2.069</v>
      </c>
      <c r="C213" s="38"/>
      <c r="D213" s="38">
        <v>14.772501977848</v>
      </c>
      <c r="E213" s="38"/>
      <c r="F213" s="38">
        <v>17.4812952234447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 ht="14.25">
      <c r="A214" s="55">
        <v>1998</v>
      </c>
      <c r="B214" s="38">
        <v>1.9750000000000001</v>
      </c>
      <c r="C214" s="38"/>
      <c r="D214" s="38">
        <v>14.772501977848</v>
      </c>
      <c r="E214" s="38"/>
      <c r="F214" s="38">
        <v>17.4812952234447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 ht="14.25">
      <c r="A215" s="55">
        <v>1999</v>
      </c>
      <c r="B215" s="38">
        <v>1.7809999999999999</v>
      </c>
      <c r="C215" s="38"/>
      <c r="D215" s="38">
        <v>14.772501977848</v>
      </c>
      <c r="E215" s="38"/>
      <c r="F215" s="38">
        <v>17.4812952234447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 ht="14.25">
      <c r="A216" s="55">
        <v>2000</v>
      </c>
      <c r="B216" s="38">
        <v>1.59</v>
      </c>
      <c r="C216" s="38"/>
      <c r="D216" s="38">
        <v>14.772501977848</v>
      </c>
      <c r="E216" s="38"/>
      <c r="F216" s="38">
        <v>17.4812952234447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 ht="14.25">
      <c r="A217" s="55">
        <v>2001</v>
      </c>
      <c r="B217" s="38">
        <v>1.65</v>
      </c>
      <c r="C217" s="38"/>
      <c r="D217" s="38">
        <v>14.772501977848</v>
      </c>
      <c r="E217" s="38"/>
      <c r="F217" s="38">
        <v>17.4812952234447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 ht="14.25">
      <c r="A218" s="55">
        <v>2002</v>
      </c>
      <c r="B218" s="38">
        <v>1.556</v>
      </c>
      <c r="C218" s="38"/>
      <c r="D218" s="38">
        <v>14.772501977848</v>
      </c>
      <c r="E218" s="38"/>
      <c r="F218" s="38">
        <v>17.4812952234447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 ht="14.25">
      <c r="A219" s="55">
        <v>2003</v>
      </c>
      <c r="B219" s="38">
        <v>1.5469999999999999</v>
      </c>
      <c r="C219" s="38"/>
      <c r="D219" s="38">
        <v>14.772501977848</v>
      </c>
      <c r="E219" s="38"/>
      <c r="F219" s="38">
        <v>17.4812952234447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 ht="14.25">
      <c r="A220" s="55">
        <v>2004</v>
      </c>
      <c r="B220" s="38">
        <v>1.4379999999999999</v>
      </c>
      <c r="C220" s="38"/>
      <c r="D220" s="38">
        <v>14.772501977848</v>
      </c>
      <c r="E220" s="38"/>
      <c r="F220" s="38">
        <v>17.4812952234447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 ht="14.25">
      <c r="A221" s="55">
        <v>2005</v>
      </c>
      <c r="B221" s="38">
        <v>1.375</v>
      </c>
      <c r="C221" s="38"/>
      <c r="D221" s="38">
        <v>14.772501977848</v>
      </c>
      <c r="E221" s="38"/>
      <c r="F221" s="38">
        <v>17.4812952234447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 ht="14.25">
      <c r="A222" s="55">
        <v>2006</v>
      </c>
      <c r="B222" s="38">
        <v>1.3120000000000001</v>
      </c>
      <c r="C222" s="38"/>
      <c r="D222" s="38">
        <v>14.772501977848</v>
      </c>
      <c r="E222" s="38"/>
      <c r="F222" s="38">
        <v>17.4812952234447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 ht="14.1" customHeight="1">
      <c r="A223" s="55">
        <v>2007</v>
      </c>
      <c r="B223" s="38">
        <v>1.345</v>
      </c>
      <c r="C223" s="38"/>
      <c r="D223" s="38">
        <v>14.772501977848</v>
      </c>
      <c r="E223" s="38"/>
      <c r="F223" s="38">
        <v>17.4812952234447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 ht="14.1" customHeight="1">
      <c r="A224" s="55">
        <v>2008</v>
      </c>
      <c r="B224" s="38">
        <v>1.2729999999999999</v>
      </c>
      <c r="C224" s="38"/>
      <c r="D224" s="38">
        <v>14.772501977848</v>
      </c>
      <c r="E224" s="38"/>
      <c r="F224" s="38">
        <v>17.4812952234447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 ht="14.25">
      <c r="A225" s="55">
        <v>2009</v>
      </c>
      <c r="B225" s="38">
        <v>1.353</v>
      </c>
      <c r="C225" s="38"/>
      <c r="D225" s="38">
        <v>14.772501977848</v>
      </c>
      <c r="E225" s="38"/>
      <c r="F225" s="38">
        <v>17.4812952234447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 ht="14.25">
      <c r="A226" s="55">
        <v>2010</v>
      </c>
      <c r="B226" s="38">
        <v>1.3740000000000001</v>
      </c>
      <c r="C226" s="38"/>
      <c r="D226" s="38">
        <v>14.772501977848</v>
      </c>
      <c r="E226" s="38"/>
      <c r="F226" s="38">
        <v>17.4812952234447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 ht="14.25">
      <c r="A227" s="55">
        <v>2011</v>
      </c>
      <c r="B227" s="38">
        <v>1.337</v>
      </c>
      <c r="C227" s="38"/>
      <c r="D227" s="38">
        <v>14.772501977848</v>
      </c>
      <c r="E227" s="38"/>
      <c r="F227" s="38">
        <v>17.4812952234447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 ht="14.25">
      <c r="A228" s="55">
        <v>2012</v>
      </c>
      <c r="B228" s="38">
        <v>1.3380000000000001</v>
      </c>
      <c r="C228" s="38"/>
      <c r="D228" s="38">
        <v>14.772501977848</v>
      </c>
      <c r="E228" s="38"/>
      <c r="F228" s="38">
        <v>17.4812952234447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 ht="14.25">
      <c r="A229" s="55">
        <v>2013</v>
      </c>
      <c r="B229" s="38">
        <v>1.421</v>
      </c>
      <c r="C229" s="38"/>
      <c r="D229" s="38">
        <v>14.772501977848</v>
      </c>
      <c r="E229" s="38"/>
      <c r="F229" s="38">
        <v>17.4812952234447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 ht="14.25">
      <c r="A230" s="55">
        <v>2014</v>
      </c>
      <c r="B230" s="38">
        <v>1.4359999999999999</v>
      </c>
      <c r="C230" s="38"/>
      <c r="D230" s="38">
        <v>14.772501977848</v>
      </c>
      <c r="E230" s="38"/>
      <c r="F230" s="38">
        <v>17.4812952234447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 ht="14.25">
      <c r="A231" s="55">
        <v>2015</v>
      </c>
      <c r="B231" s="38">
        <v>1.5289999999999999</v>
      </c>
      <c r="C231" s="38"/>
      <c r="D231" s="38">
        <v>14.772501977848</v>
      </c>
      <c r="E231" s="38"/>
      <c r="F231" s="38">
        <v>17.4812952234447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 ht="14.25">
      <c r="A232" s="55">
        <v>2016</v>
      </c>
      <c r="B232" s="38">
        <v>1.552</v>
      </c>
      <c r="C232" s="38"/>
      <c r="D232" s="38">
        <v>14.772501977848</v>
      </c>
      <c r="E232" s="38"/>
      <c r="F232" s="38">
        <v>17.4812952234447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 ht="14.25">
      <c r="A233" s="55">
        <v>2017</v>
      </c>
      <c r="B233" s="38">
        <v>1.486</v>
      </c>
      <c r="C233" s="38"/>
      <c r="D233" s="38">
        <v>14.772501977848</v>
      </c>
      <c r="E233" s="38"/>
      <c r="F233" s="38">
        <v>17.4812952234447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 ht="14.25">
      <c r="A234" s="55">
        <v>2018</v>
      </c>
      <c r="B234" s="38">
        <v>1.9410000000000001</v>
      </c>
      <c r="C234" s="38"/>
      <c r="D234" s="38">
        <v>14.772501977848</v>
      </c>
      <c r="E234" s="38"/>
      <c r="F234" s="38">
        <v>17.4812952234447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 ht="14.25">
      <c r="A235" s="55">
        <v>2019</v>
      </c>
      <c r="B235" s="38">
        <v>2.944</v>
      </c>
      <c r="C235" s="38"/>
      <c r="D235" s="38">
        <v>14.772501977848</v>
      </c>
      <c r="E235" s="38"/>
      <c r="F235" s="38">
        <v>17.4812952234447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 ht="14.25">
      <c r="A236" s="55">
        <v>2020</v>
      </c>
      <c r="B236" s="38">
        <v>2.8450000000000002</v>
      </c>
      <c r="C236" s="38"/>
      <c r="D236" s="38">
        <v>14.772501977848</v>
      </c>
      <c r="E236" s="38"/>
      <c r="F236" s="38">
        <v>17.4812952234447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 ht="14.25">
      <c r="A237" s="55">
        <v>2021</v>
      </c>
      <c r="B237" s="38">
        <v>3.0110000000000001</v>
      </c>
      <c r="C237" s="38"/>
      <c r="D237" s="38">
        <v>14.772501977848</v>
      </c>
      <c r="E237" s="38"/>
      <c r="F237" s="38">
        <v>17.4812952234447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 ht="14.25">
      <c r="A238" s="55">
        <v>2022</v>
      </c>
      <c r="B238" s="38">
        <v>3.0049999999999999</v>
      </c>
      <c r="C238" s="38"/>
      <c r="D238" s="38">
        <v>14.772501977848</v>
      </c>
      <c r="E238" s="38"/>
      <c r="F238" s="38">
        <v>17.4812952234447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 ht="14.25">
      <c r="A239" s="55">
        <v>2023</v>
      </c>
      <c r="B239" s="38">
        <v>2.4870000000000001</v>
      </c>
      <c r="C239" s="38"/>
      <c r="D239" s="38">
        <v>14.772501977848</v>
      </c>
      <c r="E239" s="38"/>
      <c r="F239" s="38">
        <v>17.4812952234447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 ht="14.25">
      <c r="A240" s="55">
        <v>2024</v>
      </c>
      <c r="B240" s="38">
        <v>2.4180000000000001</v>
      </c>
      <c r="C240" s="38">
        <v>2.4180000000000001</v>
      </c>
      <c r="D240" s="38">
        <v>14.772501977848</v>
      </c>
      <c r="E240" s="38">
        <v>2.4180000000000001</v>
      </c>
      <c r="F240" s="38">
        <v>17.4812952234447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 ht="14.25">
      <c r="A241" s="56">
        <v>2025</v>
      </c>
      <c r="B241" s="53"/>
      <c r="C241" s="53">
        <v>14.772501977848</v>
      </c>
      <c r="D241" s="53">
        <v>14.772501977848</v>
      </c>
      <c r="E241" s="53">
        <v>17.4812952234447</v>
      </c>
      <c r="F241" s="53">
        <v>17.4812952234447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 spans="1:50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 spans="1:5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</sheetData>
  <pageMargins left="0.75" right="0.75" top="1" bottom="1" header="0.5" footer="0.5"/>
  <pageSetup paperSize="9" scale="0" firstPageNumber="0" fitToWidth="0"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500"/>
  <sheetViews>
    <sheetView zoomScaleNormal="100" workbookViewId="0"/>
  </sheetViews>
  <sheetFormatPr defaultColWidth="11.42578125" defaultRowHeight="12.75"/>
  <cols>
    <col min="1" max="1" width="14.42578125" customWidth="1"/>
    <col min="2" max="2" width="15.7109375" customWidth="1"/>
    <col min="3" max="3" width="20.42578125" customWidth="1"/>
    <col min="4" max="4" width="9.140625" customWidth="1"/>
    <col min="5" max="5" width="11.140625" customWidth="1"/>
  </cols>
  <sheetData>
    <row r="1" spans="1:49" ht="15">
      <c r="A1" s="9" t="s">
        <v>83</v>
      </c>
      <c r="B1" s="39"/>
      <c r="C1" s="39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</row>
    <row r="2" spans="1:49" ht="14.25">
      <c r="A2" s="7" t="s">
        <v>84</v>
      </c>
      <c r="B2" s="39"/>
      <c r="C2" s="39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</row>
    <row r="3" spans="1:49" ht="15">
      <c r="A3" s="7" t="s">
        <v>85</v>
      </c>
      <c r="B3" s="39"/>
      <c r="C3" s="3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spans="1:49" ht="14.25">
      <c r="A4" s="39"/>
      <c r="B4" s="39"/>
      <c r="C4" s="39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</row>
    <row r="5" spans="1:49" ht="41.45" customHeight="1">
      <c r="A5" s="63" t="s">
        <v>86</v>
      </c>
      <c r="B5" s="64" t="s">
        <v>41</v>
      </c>
      <c r="C5" s="64" t="s">
        <v>43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</row>
    <row r="6" spans="1:49" ht="13.35" customHeight="1">
      <c r="A6" s="36">
        <v>45731</v>
      </c>
      <c r="B6" s="38">
        <v>-7.1356831986148098E-3</v>
      </c>
      <c r="C6" s="38">
        <v>-7.1356831986148098E-3</v>
      </c>
      <c r="D6" s="59"/>
      <c r="E6" s="59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ht="14.25">
      <c r="A7" s="36">
        <v>45823</v>
      </c>
      <c r="B7" s="38">
        <v>-0.24914792741674499</v>
      </c>
      <c r="C7" s="38">
        <v>-0.256926229945734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ht="13.35" customHeight="1">
      <c r="A8" s="36">
        <v>45915</v>
      </c>
      <c r="B8" s="38">
        <v>-0.48834068605384201</v>
      </c>
      <c r="C8" s="38">
        <v>-0.50398473416301603</v>
      </c>
      <c r="D8" s="60"/>
      <c r="E8" s="6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ht="13.35" customHeight="1">
      <c r="A9" s="36">
        <v>46006</v>
      </c>
      <c r="B9" s="38">
        <v>-0.48822117311927998</v>
      </c>
      <c r="C9" s="38">
        <v>-0.50328612006599305</v>
      </c>
      <c r="D9" s="60"/>
      <c r="E9" s="6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ht="15">
      <c r="A10" s="36">
        <v>46096</v>
      </c>
      <c r="B10" s="38">
        <v>-0.81033236315838097</v>
      </c>
      <c r="C10" s="38">
        <v>-0.83827958839111305</v>
      </c>
      <c r="D10" s="61"/>
      <c r="E10" s="6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ht="15">
      <c r="A11" s="36">
        <v>46188</v>
      </c>
      <c r="B11" s="38">
        <v>-0.96549193393821597</v>
      </c>
      <c r="C11" s="38">
        <v>-0.99906848006365401</v>
      </c>
      <c r="D11" s="61"/>
      <c r="E11" s="6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ht="14.25">
      <c r="A12" s="36">
        <v>46280</v>
      </c>
      <c r="B12" s="38">
        <v>-0.96878056049697603</v>
      </c>
      <c r="C12" s="38">
        <v>-1.0021660486172701</v>
      </c>
      <c r="D12" s="58"/>
      <c r="E12" s="5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spans="1:49" ht="14.25">
      <c r="A13" s="36">
        <v>46371</v>
      </c>
      <c r="B13" s="38">
        <v>-0.85961852456582899</v>
      </c>
      <c r="C13" s="38">
        <v>-0.88773636830856595</v>
      </c>
      <c r="D13" s="58"/>
      <c r="E13" s="5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spans="1:49" ht="14.25">
      <c r="A14" s="36">
        <v>46461</v>
      </c>
      <c r="B14" s="38">
        <v>-0.75355918736893301</v>
      </c>
      <c r="C14" s="38">
        <v>-0.77660132524869796</v>
      </c>
      <c r="D14" s="58"/>
      <c r="E14" s="5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:49" ht="14.25">
      <c r="A15" s="36">
        <v>46553</v>
      </c>
      <c r="B15" s="38">
        <v>-0.68075534190491904</v>
      </c>
      <c r="C15" s="38">
        <v>-0.70050921881358996</v>
      </c>
      <c r="D15" s="58"/>
      <c r="E15" s="5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</row>
    <row r="16" spans="1:49" ht="14.25">
      <c r="A16" s="36">
        <v>46645</v>
      </c>
      <c r="B16" s="38">
        <v>-0.63254893698876502</v>
      </c>
      <c r="C16" s="38">
        <v>-0.65056098289457698</v>
      </c>
      <c r="D16" s="58"/>
      <c r="E16" s="5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1:49" ht="14.25">
      <c r="A17" s="36">
        <v>46736</v>
      </c>
      <c r="B17" s="38">
        <v>-0.59388092839199802</v>
      </c>
      <c r="C17" s="38">
        <v>-0.610708068307101</v>
      </c>
      <c r="D17" s="58"/>
      <c r="E17" s="5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</row>
    <row r="18" spans="1:49" ht="14.25">
      <c r="A18" s="36">
        <v>46827</v>
      </c>
      <c r="B18" s="38">
        <v>-0.54748278819839202</v>
      </c>
      <c r="C18" s="38">
        <v>-0.56294402166837298</v>
      </c>
      <c r="D18" s="58"/>
      <c r="E18" s="5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 spans="1:49" ht="14.25">
      <c r="A19" s="36">
        <v>46919</v>
      </c>
      <c r="B19" s="38">
        <v>-0.49359200310909201</v>
      </c>
      <c r="C19" s="38">
        <v>-0.50713835713559696</v>
      </c>
      <c r="D19" s="58"/>
      <c r="E19" s="5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 spans="1:49" ht="14.25">
      <c r="A20" s="36">
        <v>47011</v>
      </c>
      <c r="B20" s="38">
        <v>-0.44759004165803801</v>
      </c>
      <c r="C20" s="38">
        <v>-0.45952384209083502</v>
      </c>
      <c r="D20" s="58"/>
      <c r="E20" s="5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1:49" ht="14.25">
      <c r="A21" s="36">
        <v>47102</v>
      </c>
      <c r="B21" s="38">
        <v>-0.40453900328179898</v>
      </c>
      <c r="C21" s="38">
        <v>-0.41483246316148098</v>
      </c>
      <c r="D21" s="58"/>
      <c r="E21" s="5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</row>
    <row r="22" spans="1:49" ht="14.25">
      <c r="A22" s="36">
        <v>47192</v>
      </c>
      <c r="B22" s="38">
        <v>-0.37445120456418801</v>
      </c>
      <c r="C22" s="38">
        <v>-0.38363751295782</v>
      </c>
      <c r="D22" s="58"/>
      <c r="E22" s="5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1:49" ht="14.25">
      <c r="A23" s="36">
        <v>47284</v>
      </c>
      <c r="B23" s="38">
        <v>-0.35601197737607099</v>
      </c>
      <c r="C23" s="38">
        <v>-0.36453363300279401</v>
      </c>
      <c r="D23" s="58"/>
      <c r="E23" s="5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1:49" ht="14.25">
      <c r="A24" s="36">
        <v>47376</v>
      </c>
      <c r="B24" s="38">
        <v>-0.34325931554903399</v>
      </c>
      <c r="C24" s="38">
        <v>-0.35131240090256199</v>
      </c>
      <c r="D24" s="58"/>
      <c r="E24" s="5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spans="1:49" ht="14.25">
      <c r="A25" s="36">
        <v>47467</v>
      </c>
      <c r="B25" s="38">
        <v>-0.33237572755308697</v>
      </c>
      <c r="C25" s="38">
        <v>-0.34008573872989001</v>
      </c>
      <c r="D25" s="58"/>
      <c r="E25" s="5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</row>
    <row r="26" spans="1:49" ht="14.25">
      <c r="A26" s="36">
        <v>47557</v>
      </c>
      <c r="B26" s="38">
        <v>-0.32027194554079103</v>
      </c>
      <c r="C26" s="38">
        <v>-0.33</v>
      </c>
      <c r="D26" s="58"/>
      <c r="E26" s="5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</row>
    <row r="27" spans="1:49" ht="14.25">
      <c r="A27" s="36">
        <v>47649</v>
      </c>
      <c r="B27" s="38">
        <v>-0.31</v>
      </c>
      <c r="C27" s="38">
        <v>-0.33</v>
      </c>
      <c r="D27" s="58"/>
      <c r="E27" s="5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</row>
    <row r="28" spans="1:49" ht="14.25">
      <c r="A28" s="36">
        <v>47741</v>
      </c>
      <c r="B28" s="38">
        <v>-0.31</v>
      </c>
      <c r="C28" s="38">
        <v>-0.33</v>
      </c>
      <c r="D28" s="58"/>
      <c r="E28" s="5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</row>
    <row r="29" spans="1:49" ht="14.25">
      <c r="A29" s="36">
        <v>47832</v>
      </c>
      <c r="B29" s="38">
        <v>-0.31</v>
      </c>
      <c r="C29" s="38">
        <v>-0.33</v>
      </c>
      <c r="D29" s="58"/>
      <c r="E29" s="5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</row>
    <row r="30" spans="1:49" ht="14.25">
      <c r="A30" s="36">
        <v>47922</v>
      </c>
      <c r="B30" s="38">
        <v>-0.31</v>
      </c>
      <c r="C30" s="38">
        <v>-0.33</v>
      </c>
      <c r="D30" s="58"/>
      <c r="E30" s="5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  <row r="31" spans="1:49" ht="14.25">
      <c r="A31" s="36">
        <v>48014</v>
      </c>
      <c r="B31" s="38">
        <v>-0.31</v>
      </c>
      <c r="C31" s="38">
        <v>-0.33</v>
      </c>
      <c r="D31" s="58"/>
      <c r="E31" s="5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</row>
    <row r="32" spans="1:49" ht="14.25">
      <c r="A32" s="36">
        <v>48106</v>
      </c>
      <c r="B32" s="38">
        <v>-0.31</v>
      </c>
      <c r="C32" s="38">
        <v>-0.33</v>
      </c>
      <c r="D32" s="58"/>
      <c r="E32" s="5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</row>
    <row r="33" spans="1:49" ht="14.25">
      <c r="A33" s="36">
        <v>48197</v>
      </c>
      <c r="B33" s="38">
        <v>-0.31</v>
      </c>
      <c r="C33" s="38">
        <v>-0.33</v>
      </c>
      <c r="D33" s="58"/>
      <c r="E33" s="5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</row>
    <row r="34" spans="1:49" ht="14.25">
      <c r="A34" s="36">
        <v>48288</v>
      </c>
      <c r="B34" s="38">
        <v>-0.31</v>
      </c>
      <c r="C34" s="38">
        <v>-0.33</v>
      </c>
      <c r="D34" s="58"/>
      <c r="E34" s="5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</row>
    <row r="35" spans="1:49" ht="14.25">
      <c r="A35" s="36">
        <v>48380</v>
      </c>
      <c r="B35" s="38">
        <v>-0.31</v>
      </c>
      <c r="C35" s="38">
        <v>-0.33</v>
      </c>
      <c r="D35" s="58"/>
      <c r="E35" s="5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</row>
    <row r="36" spans="1:49" ht="14.25">
      <c r="A36" s="36">
        <v>48472</v>
      </c>
      <c r="B36" s="38">
        <v>-0.31</v>
      </c>
      <c r="C36" s="38">
        <v>-0.33</v>
      </c>
      <c r="D36" s="58"/>
      <c r="E36" s="5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</row>
    <row r="37" spans="1:49" ht="14.25">
      <c r="A37" s="36">
        <v>48563</v>
      </c>
      <c r="B37" s="38">
        <v>-0.31</v>
      </c>
      <c r="C37" s="38">
        <v>-0.33</v>
      </c>
      <c r="D37" s="58"/>
      <c r="E37" s="5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</row>
    <row r="38" spans="1:49" ht="14.25">
      <c r="A38" s="36">
        <v>48653</v>
      </c>
      <c r="B38" s="38">
        <v>-0.31</v>
      </c>
      <c r="C38" s="38">
        <v>-0.33</v>
      </c>
      <c r="D38" s="58"/>
      <c r="E38" s="5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</row>
    <row r="39" spans="1:49" ht="14.25">
      <c r="A39" s="36">
        <v>48745</v>
      </c>
      <c r="B39" s="38">
        <v>-0.31</v>
      </c>
      <c r="C39" s="38">
        <v>-0.33</v>
      </c>
      <c r="D39" s="58"/>
      <c r="E39" s="5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</row>
    <row r="40" spans="1:49" ht="14.25">
      <c r="A40" s="36">
        <v>48837</v>
      </c>
      <c r="B40" s="38">
        <v>-0.31</v>
      </c>
      <c r="C40" s="38">
        <v>-0.33</v>
      </c>
      <c r="D40" s="58"/>
      <c r="E40" s="5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</row>
    <row r="41" spans="1:49" ht="14.25">
      <c r="A41" s="36">
        <v>48928</v>
      </c>
      <c r="B41" s="38">
        <v>-0.31</v>
      </c>
      <c r="C41" s="38">
        <v>-0.33</v>
      </c>
      <c r="D41" s="58"/>
      <c r="E41" s="5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</row>
    <row r="42" spans="1:49" ht="14.25">
      <c r="A42" s="36">
        <v>49018</v>
      </c>
      <c r="B42" s="38">
        <v>-0.31</v>
      </c>
      <c r="C42" s="38">
        <v>-0.33</v>
      </c>
      <c r="D42" s="58"/>
      <c r="E42" s="5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</row>
    <row r="43" spans="1:49" ht="14.25">
      <c r="A43" s="36">
        <v>49110</v>
      </c>
      <c r="B43" s="38">
        <v>-0.31</v>
      </c>
      <c r="C43" s="38">
        <v>-0.33</v>
      </c>
      <c r="D43" s="58"/>
      <c r="E43" s="5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</row>
    <row r="44" spans="1:49" ht="14.25">
      <c r="A44" s="36">
        <v>49202</v>
      </c>
      <c r="B44" s="38">
        <v>-0.31</v>
      </c>
      <c r="C44" s="38">
        <v>-0.33</v>
      </c>
      <c r="D44" s="58"/>
      <c r="E44" s="5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</row>
    <row r="45" spans="1:49" ht="14.25">
      <c r="A45" s="36">
        <v>49293</v>
      </c>
      <c r="B45" s="38">
        <v>-0.31</v>
      </c>
      <c r="C45" s="38">
        <v>-0.33</v>
      </c>
      <c r="D45" s="58"/>
      <c r="E45" s="5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49" ht="14.25">
      <c r="A46" s="36">
        <v>49383</v>
      </c>
      <c r="B46" s="38">
        <v>-0.31</v>
      </c>
      <c r="C46" s="38">
        <v>-0.33</v>
      </c>
      <c r="D46" s="58"/>
      <c r="E46" s="5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</row>
    <row r="47" spans="1:49" ht="14.25">
      <c r="A47" s="36">
        <v>49475</v>
      </c>
      <c r="B47" s="38">
        <v>-0.31</v>
      </c>
      <c r="C47" s="38">
        <v>-0.33</v>
      </c>
      <c r="D47" s="58"/>
      <c r="E47" s="5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49" ht="14.25">
      <c r="A48" s="36">
        <v>49567</v>
      </c>
      <c r="B48" s="38">
        <v>-0.31</v>
      </c>
      <c r="C48" s="38">
        <v>-0.33</v>
      </c>
      <c r="D48" s="58"/>
      <c r="E48" s="5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</row>
    <row r="49" spans="1:49" ht="14.25">
      <c r="A49" s="65">
        <v>49658</v>
      </c>
      <c r="B49" s="42">
        <v>-0.31</v>
      </c>
      <c r="C49" s="42">
        <v>-0.33</v>
      </c>
      <c r="D49" s="58"/>
      <c r="E49" s="5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ht="14.25">
      <c r="A50" s="58"/>
      <c r="B50" s="38"/>
      <c r="C50" s="38"/>
      <c r="D50" s="58"/>
      <c r="E50" s="5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</row>
    <row r="51" spans="1:49" ht="14.25">
      <c r="A51" s="58"/>
      <c r="B51" s="38"/>
      <c r="C51" s="38"/>
      <c r="D51" s="58"/>
      <c r="E51" s="5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</row>
    <row r="52" spans="1:49" ht="14.25">
      <c r="A52" s="58"/>
      <c r="B52" s="38"/>
      <c r="C52" s="38"/>
      <c r="D52" s="58"/>
      <c r="E52" s="5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</row>
    <row r="53" spans="1:49" ht="14.25">
      <c r="A53" s="58"/>
      <c r="B53" s="38"/>
      <c r="C53" s="38"/>
      <c r="D53" s="58"/>
      <c r="E53" s="5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</row>
    <row r="54" spans="1:49" ht="14.25">
      <c r="A54" s="58"/>
      <c r="B54" s="38"/>
      <c r="C54" s="38"/>
      <c r="D54" s="58"/>
      <c r="E54" s="5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</row>
    <row r="55" spans="1:49" ht="14.25">
      <c r="A55" s="58"/>
      <c r="B55" s="38"/>
      <c r="C55" s="38"/>
      <c r="D55" s="58"/>
      <c r="E55" s="5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</row>
    <row r="56" spans="1:49" ht="14.25">
      <c r="A56" s="58"/>
      <c r="B56" s="38"/>
      <c r="C56" s="38"/>
      <c r="D56" s="58"/>
      <c r="E56" s="5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</row>
    <row r="57" spans="1:49" ht="14.25">
      <c r="A57" s="58"/>
      <c r="B57" s="38"/>
      <c r="C57" s="38"/>
      <c r="D57" s="58"/>
      <c r="E57" s="5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</row>
    <row r="58" spans="1:49" ht="14.25">
      <c r="A58" s="58"/>
      <c r="B58" s="38"/>
      <c r="C58" s="38"/>
      <c r="D58" s="58"/>
      <c r="E58" s="5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</row>
    <row r="59" spans="1:49" ht="14.25">
      <c r="A59" s="58"/>
      <c r="B59" s="38"/>
      <c r="C59" s="38"/>
      <c r="D59" s="58"/>
      <c r="E59" s="5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</row>
    <row r="60" spans="1:49" ht="14.25">
      <c r="A60" s="58"/>
      <c r="B60" s="38"/>
      <c r="C60" s="38"/>
      <c r="D60" s="58"/>
      <c r="E60" s="5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</row>
    <row r="61" spans="1:49" ht="14.25">
      <c r="A61" s="58"/>
      <c r="B61" s="38"/>
      <c r="C61" s="38"/>
      <c r="D61" s="58"/>
      <c r="E61" s="5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</row>
    <row r="62" spans="1:49" ht="14.25">
      <c r="A62" s="58"/>
      <c r="B62" s="38"/>
      <c r="C62" s="38"/>
      <c r="D62" s="58"/>
      <c r="E62" s="5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</row>
    <row r="63" spans="1:49" ht="14.25">
      <c r="A63" s="58"/>
      <c r="B63" s="38"/>
      <c r="C63" s="38"/>
      <c r="D63" s="58"/>
      <c r="E63" s="5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</row>
    <row r="64" spans="1:49" ht="14.25">
      <c r="A64" s="58"/>
      <c r="B64" s="38"/>
      <c r="C64" s="38"/>
      <c r="D64" s="58"/>
      <c r="E64" s="5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</row>
    <row r="65" spans="1:49" ht="14.25">
      <c r="A65" s="58"/>
      <c r="B65" s="38"/>
      <c r="C65" s="38"/>
      <c r="D65" s="58"/>
      <c r="E65" s="5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</row>
    <row r="66" spans="1:49" ht="14.25">
      <c r="A66" s="58"/>
      <c r="B66" s="38"/>
      <c r="C66" s="38"/>
      <c r="D66" s="58"/>
      <c r="E66" s="5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</row>
    <row r="67" spans="1:49" ht="14.25">
      <c r="A67" s="58"/>
      <c r="B67" s="38"/>
      <c r="C67" s="38"/>
      <c r="D67" s="58"/>
      <c r="E67" s="5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</row>
    <row r="68" spans="1:49" ht="14.25">
      <c r="A68" s="58"/>
      <c r="B68" s="38"/>
      <c r="C68" s="38"/>
      <c r="D68" s="58"/>
      <c r="E68" s="5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</row>
    <row r="69" spans="1:49" ht="14.25">
      <c r="A69" s="58"/>
      <c r="B69" s="38"/>
      <c r="C69" s="38"/>
      <c r="D69" s="58"/>
      <c r="E69" s="5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</row>
    <row r="70" spans="1:49" ht="14.25">
      <c r="A70" s="58"/>
      <c r="B70" s="38"/>
      <c r="C70" s="38"/>
      <c r="D70" s="58"/>
      <c r="E70" s="5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</row>
    <row r="71" spans="1:49" ht="14.25">
      <c r="A71" s="58"/>
      <c r="B71" s="38"/>
      <c r="C71" s="38"/>
      <c r="D71" s="58"/>
      <c r="E71" s="5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</row>
    <row r="72" spans="1:49" ht="14.25">
      <c r="A72" s="58"/>
      <c r="B72" s="38"/>
      <c r="C72" s="38"/>
      <c r="D72" s="58"/>
      <c r="E72" s="5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</row>
    <row r="73" spans="1:49" ht="14.25">
      <c r="A73" s="58"/>
      <c r="B73" s="38"/>
      <c r="C73" s="38"/>
      <c r="D73" s="58"/>
      <c r="E73" s="5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</row>
    <row r="74" spans="1:49" ht="14.25">
      <c r="A74" s="58"/>
      <c r="B74" s="38"/>
      <c r="C74" s="38"/>
      <c r="D74" s="58"/>
      <c r="E74" s="5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</row>
    <row r="75" spans="1:49" ht="14.25">
      <c r="A75" s="58"/>
      <c r="B75" s="38"/>
      <c r="C75" s="38"/>
      <c r="D75" s="58"/>
      <c r="E75" s="5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</row>
    <row r="76" spans="1:49" ht="14.25">
      <c r="A76" s="58"/>
      <c r="B76" s="38"/>
      <c r="C76" s="38"/>
      <c r="D76" s="58"/>
      <c r="E76" s="5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</row>
    <row r="77" spans="1:49" ht="14.25">
      <c r="A77" s="58"/>
      <c r="B77" s="38"/>
      <c r="C77" s="38"/>
      <c r="D77" s="58"/>
      <c r="E77" s="5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</row>
    <row r="78" spans="1:49" ht="14.25">
      <c r="A78" s="58"/>
      <c r="B78" s="38"/>
      <c r="C78" s="38"/>
      <c r="D78" s="58"/>
      <c r="E78" s="5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</row>
    <row r="79" spans="1:49" ht="14.25">
      <c r="A79" s="58"/>
      <c r="B79" s="38"/>
      <c r="C79" s="38"/>
      <c r="D79" s="58"/>
      <c r="E79" s="5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</row>
    <row r="80" spans="1:49" ht="14.25">
      <c r="A80" s="58"/>
      <c r="B80" s="38"/>
      <c r="C80" s="38"/>
      <c r="D80" s="58"/>
      <c r="E80" s="5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</row>
    <row r="81" spans="1:49" ht="14.25">
      <c r="A81" s="58"/>
      <c r="B81" s="38"/>
      <c r="C81" s="38"/>
      <c r="D81" s="58"/>
      <c r="E81" s="5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</row>
    <row r="82" spans="1:49" ht="14.25">
      <c r="A82" s="58"/>
      <c r="B82" s="38"/>
      <c r="C82" s="38"/>
      <c r="D82" s="58"/>
      <c r="E82" s="5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</row>
    <row r="83" spans="1:49" ht="14.25">
      <c r="A83" s="58"/>
      <c r="B83" s="38"/>
      <c r="C83" s="38"/>
      <c r="D83" s="58"/>
      <c r="E83" s="5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</row>
    <row r="84" spans="1:49" ht="14.25">
      <c r="A84" s="58"/>
      <c r="B84" s="38"/>
      <c r="C84" s="38"/>
      <c r="D84" s="58"/>
      <c r="E84" s="5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</row>
    <row r="85" spans="1:49" ht="14.25">
      <c r="A85" s="58"/>
      <c r="B85" s="38"/>
      <c r="C85" s="38"/>
      <c r="D85" s="58"/>
      <c r="E85" s="5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</row>
    <row r="86" spans="1:49" ht="14.25">
      <c r="A86" s="58"/>
      <c r="B86" s="38"/>
      <c r="C86" s="38"/>
      <c r="D86" s="58"/>
      <c r="E86" s="5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</row>
    <row r="87" spans="1:49" ht="14.25">
      <c r="A87" s="58"/>
      <c r="B87" s="38"/>
      <c r="C87" s="38"/>
      <c r="D87" s="58"/>
      <c r="E87" s="5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</row>
    <row r="88" spans="1:49" ht="14.25">
      <c r="A88" s="58"/>
      <c r="B88" s="38"/>
      <c r="C88" s="38"/>
      <c r="D88" s="58"/>
      <c r="E88" s="5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</row>
    <row r="89" spans="1:49" ht="14.25">
      <c r="A89" s="58"/>
      <c r="B89" s="38"/>
      <c r="C89" s="38"/>
      <c r="D89" s="58"/>
      <c r="E89" s="5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</row>
    <row r="90" spans="1:49" ht="14.25">
      <c r="A90" s="58"/>
      <c r="B90" s="38"/>
      <c r="C90" s="38"/>
      <c r="D90" s="58"/>
      <c r="E90" s="5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</row>
    <row r="91" spans="1:49" ht="14.25">
      <c r="A91" s="58"/>
      <c r="B91" s="38"/>
      <c r="C91" s="38"/>
      <c r="D91" s="58"/>
      <c r="E91" s="5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</row>
    <row r="92" spans="1:49" ht="14.25">
      <c r="A92" s="58"/>
      <c r="B92" s="38"/>
      <c r="C92" s="38"/>
      <c r="D92" s="58"/>
      <c r="E92" s="5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</row>
    <row r="93" spans="1:49" ht="14.25">
      <c r="A93" s="58"/>
      <c r="B93" s="38"/>
      <c r="C93" s="38"/>
      <c r="D93" s="58"/>
      <c r="E93" s="5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</row>
    <row r="94" spans="1:49" ht="14.25">
      <c r="A94" s="58"/>
      <c r="B94" s="38"/>
      <c r="C94" s="38"/>
      <c r="D94" s="58"/>
      <c r="E94" s="5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</row>
    <row r="95" spans="1:49" ht="14.25">
      <c r="A95" s="58"/>
      <c r="B95" s="38"/>
      <c r="C95" s="38"/>
      <c r="D95" s="58"/>
      <c r="E95" s="5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</row>
    <row r="96" spans="1:49" ht="14.25">
      <c r="A96" s="58"/>
      <c r="B96" s="38"/>
      <c r="C96" s="38"/>
      <c r="D96" s="58"/>
      <c r="E96" s="5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</row>
    <row r="97" spans="1:49" ht="14.25">
      <c r="A97" s="58"/>
      <c r="B97" s="38"/>
      <c r="C97" s="38"/>
      <c r="D97" s="58"/>
      <c r="E97" s="5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</row>
    <row r="98" spans="1:49" ht="14.25">
      <c r="A98" s="58"/>
      <c r="B98" s="38"/>
      <c r="C98" s="38"/>
      <c r="D98" s="58"/>
      <c r="E98" s="5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</row>
    <row r="99" spans="1:49" ht="14.25">
      <c r="A99" s="58"/>
      <c r="B99" s="38"/>
      <c r="C99" s="38"/>
      <c r="D99" s="58"/>
      <c r="E99" s="5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</row>
    <row r="100" spans="1:49" ht="14.25">
      <c r="A100" s="58"/>
      <c r="B100" s="38"/>
      <c r="C100" s="38"/>
      <c r="D100" s="58"/>
      <c r="E100" s="5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</row>
    <row r="101" spans="1:49" ht="14.25">
      <c r="A101" s="58"/>
      <c r="B101" s="38"/>
      <c r="C101" s="38"/>
      <c r="D101" s="58"/>
      <c r="E101" s="5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</row>
    <row r="102" spans="1:49" ht="14.25">
      <c r="A102" s="58"/>
      <c r="B102" s="38"/>
      <c r="C102" s="38"/>
      <c r="D102" s="58"/>
      <c r="E102" s="5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</row>
    <row r="103" spans="1:49" ht="14.25">
      <c r="A103" s="58"/>
      <c r="B103" s="38"/>
      <c r="C103" s="38"/>
      <c r="D103" s="58"/>
      <c r="E103" s="5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</row>
    <row r="104" spans="1:49" ht="14.25">
      <c r="A104" s="58"/>
      <c r="B104" s="38"/>
      <c r="C104" s="38"/>
      <c r="D104" s="58"/>
      <c r="E104" s="5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</row>
    <row r="105" spans="1:49" ht="14.25">
      <c r="A105" s="58"/>
      <c r="B105" s="38"/>
      <c r="C105" s="38"/>
      <c r="D105" s="58"/>
      <c r="E105" s="5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</row>
    <row r="106" spans="1:49" ht="14.25">
      <c r="A106" s="58"/>
      <c r="B106" s="38"/>
      <c r="C106" s="38"/>
      <c r="D106" s="58"/>
      <c r="E106" s="5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</row>
    <row r="107" spans="1:49" ht="14.25">
      <c r="A107" s="58"/>
      <c r="B107" s="38"/>
      <c r="C107" s="38"/>
      <c r="D107" s="58"/>
      <c r="E107" s="5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</row>
    <row r="108" spans="1:49" ht="14.25">
      <c r="A108" s="58"/>
      <c r="B108" s="38"/>
      <c r="C108" s="38"/>
      <c r="D108" s="58"/>
      <c r="E108" s="5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</row>
    <row r="109" spans="1:49" ht="14.25">
      <c r="A109" s="58"/>
      <c r="B109" s="38"/>
      <c r="C109" s="38"/>
      <c r="D109" s="58"/>
      <c r="E109" s="5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</row>
    <row r="110" spans="1:49" ht="14.25">
      <c r="A110" s="58"/>
      <c r="B110" s="38"/>
      <c r="C110" s="38"/>
      <c r="D110" s="58"/>
      <c r="E110" s="5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</row>
    <row r="111" spans="1:49" ht="14.25">
      <c r="A111" s="58"/>
      <c r="B111" s="38"/>
      <c r="C111" s="38"/>
      <c r="D111" s="58"/>
      <c r="E111" s="5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</row>
    <row r="112" spans="1:49" ht="14.25">
      <c r="A112" s="58"/>
      <c r="B112" s="38"/>
      <c r="C112" s="38"/>
      <c r="D112" s="58"/>
      <c r="E112" s="5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</row>
    <row r="113" spans="1:49" ht="14.25">
      <c r="A113" s="58"/>
      <c r="B113" s="38"/>
      <c r="C113" s="38"/>
      <c r="D113" s="58"/>
      <c r="E113" s="5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</row>
    <row r="114" spans="1:49" ht="14.25">
      <c r="A114" s="58"/>
      <c r="B114" s="38"/>
      <c r="C114" s="38"/>
      <c r="D114" s="58"/>
      <c r="E114" s="5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</row>
    <row r="115" spans="1:49" ht="14.25">
      <c r="A115" s="58"/>
      <c r="B115" s="38"/>
      <c r="C115" s="38"/>
      <c r="D115" s="58"/>
      <c r="E115" s="5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</row>
    <row r="116" spans="1:49" ht="14.25">
      <c r="A116" s="58"/>
      <c r="B116" s="38"/>
      <c r="C116" s="38"/>
      <c r="D116" s="58"/>
      <c r="E116" s="5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</row>
    <row r="117" spans="1:49" ht="14.25">
      <c r="A117" s="58"/>
      <c r="B117" s="38"/>
      <c r="C117" s="38"/>
      <c r="D117" s="58"/>
      <c r="E117" s="5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</row>
    <row r="118" spans="1:49" ht="14.25">
      <c r="A118" s="58"/>
      <c r="B118" s="38"/>
      <c r="C118" s="38"/>
      <c r="D118" s="58"/>
      <c r="E118" s="5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</row>
    <row r="119" spans="1:49" ht="14.25">
      <c r="A119" s="58"/>
      <c r="B119" s="38"/>
      <c r="C119" s="38"/>
      <c r="D119" s="58"/>
      <c r="E119" s="5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</row>
    <row r="120" spans="1:49" ht="14.25">
      <c r="A120" s="58"/>
      <c r="B120" s="38"/>
      <c r="C120" s="38"/>
      <c r="D120" s="58"/>
      <c r="E120" s="5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</row>
    <row r="121" spans="1:49" ht="14.25">
      <c r="A121" s="58"/>
      <c r="B121" s="38"/>
      <c r="C121" s="38"/>
      <c r="D121" s="58"/>
      <c r="E121" s="5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</row>
    <row r="122" spans="1:49" ht="14.25">
      <c r="A122" s="58"/>
      <c r="B122" s="38"/>
      <c r="C122" s="38"/>
      <c r="D122" s="58"/>
      <c r="E122" s="5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</row>
    <row r="123" spans="1:49" ht="14.25">
      <c r="A123" s="58"/>
      <c r="B123" s="38"/>
      <c r="C123" s="38"/>
      <c r="D123" s="58"/>
      <c r="E123" s="5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</row>
    <row r="124" spans="1:49" ht="14.25">
      <c r="A124" s="58"/>
      <c r="B124" s="38"/>
      <c r="C124" s="38"/>
      <c r="D124" s="58"/>
      <c r="E124" s="5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</row>
    <row r="125" spans="1:49" ht="14.25">
      <c r="A125" s="58"/>
      <c r="B125" s="38"/>
      <c r="C125" s="38"/>
      <c r="D125" s="58"/>
      <c r="E125" s="5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</row>
    <row r="126" spans="1:49" ht="14.25">
      <c r="A126" s="58"/>
      <c r="B126" s="38"/>
      <c r="C126" s="38"/>
      <c r="D126" s="58"/>
      <c r="E126" s="5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</row>
    <row r="127" spans="1:49" ht="14.25">
      <c r="A127" s="58"/>
      <c r="B127" s="38"/>
      <c r="C127" s="38"/>
      <c r="D127" s="58"/>
      <c r="E127" s="5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</row>
    <row r="128" spans="1:49" ht="14.25">
      <c r="A128" s="58"/>
      <c r="B128" s="38"/>
      <c r="C128" s="38"/>
      <c r="D128" s="58"/>
      <c r="E128" s="5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</row>
    <row r="129" spans="1:49" ht="14.25">
      <c r="A129" s="58"/>
      <c r="B129" s="38"/>
      <c r="C129" s="38"/>
      <c r="D129" s="58"/>
      <c r="E129" s="5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</row>
    <row r="130" spans="1:49" ht="14.25">
      <c r="A130" s="58"/>
      <c r="B130" s="38"/>
      <c r="C130" s="38"/>
      <c r="D130" s="58"/>
      <c r="E130" s="5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</row>
    <row r="131" spans="1:49" ht="14.25">
      <c r="A131" s="58"/>
      <c r="B131" s="38"/>
      <c r="C131" s="38"/>
      <c r="D131" s="58"/>
      <c r="E131" s="5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</row>
    <row r="132" spans="1:49" ht="14.25">
      <c r="A132" s="58"/>
      <c r="B132" s="38"/>
      <c r="C132" s="38"/>
      <c r="D132" s="58"/>
      <c r="E132" s="5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</row>
    <row r="133" spans="1:49" ht="14.25">
      <c r="A133" s="58"/>
      <c r="B133" s="38"/>
      <c r="C133" s="38"/>
      <c r="D133" s="58"/>
      <c r="E133" s="5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</row>
    <row r="134" spans="1:49" ht="14.25">
      <c r="A134" s="58"/>
      <c r="B134" s="38"/>
      <c r="C134" s="38"/>
      <c r="D134" s="58"/>
      <c r="E134" s="5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</row>
    <row r="135" spans="1:49" ht="14.25">
      <c r="A135" s="58"/>
      <c r="B135" s="38"/>
      <c r="C135" s="38"/>
      <c r="D135" s="58"/>
      <c r="E135" s="5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</row>
    <row r="136" spans="1:49" ht="14.25">
      <c r="A136" s="58"/>
      <c r="B136" s="38"/>
      <c r="C136" s="38"/>
      <c r="D136" s="58"/>
      <c r="E136" s="5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</row>
    <row r="137" spans="1:49" ht="14.25">
      <c r="A137" s="58"/>
      <c r="B137" s="38"/>
      <c r="C137" s="38"/>
      <c r="D137" s="58"/>
      <c r="E137" s="5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</row>
    <row r="138" spans="1:49" ht="14.25">
      <c r="A138" s="58"/>
      <c r="B138" s="38"/>
      <c r="C138" s="38"/>
      <c r="D138" s="58"/>
      <c r="E138" s="5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</row>
    <row r="139" spans="1:49" ht="14.25">
      <c r="A139" s="58"/>
      <c r="B139" s="38"/>
      <c r="C139" s="38"/>
      <c r="D139" s="58"/>
      <c r="E139" s="5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</row>
    <row r="140" spans="1:49" ht="14.25">
      <c r="A140" s="58"/>
      <c r="B140" s="38"/>
      <c r="C140" s="38"/>
      <c r="D140" s="58"/>
      <c r="E140" s="5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</row>
    <row r="141" spans="1:49" ht="14.25">
      <c r="A141" s="58"/>
      <c r="B141" s="38"/>
      <c r="C141" s="38"/>
      <c r="D141" s="58"/>
      <c r="E141" s="5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</row>
    <row r="142" spans="1:49" ht="14.25">
      <c r="A142" s="58"/>
      <c r="B142" s="38"/>
      <c r="C142" s="38"/>
      <c r="D142" s="58"/>
      <c r="E142" s="5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</row>
    <row r="143" spans="1:49" ht="14.25">
      <c r="A143" s="58"/>
      <c r="B143" s="38"/>
      <c r="C143" s="38"/>
      <c r="D143" s="58"/>
      <c r="E143" s="5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</row>
    <row r="144" spans="1:49" ht="14.25">
      <c r="A144" s="58"/>
      <c r="B144" s="38"/>
      <c r="C144" s="38"/>
      <c r="D144" s="58"/>
      <c r="E144" s="5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</row>
    <row r="145" spans="1:49" ht="14.25">
      <c r="A145" s="58"/>
      <c r="B145" s="38"/>
      <c r="C145" s="38"/>
      <c r="D145" s="58"/>
      <c r="E145" s="5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</row>
    <row r="146" spans="1:49" ht="14.25">
      <c r="A146" s="58"/>
      <c r="B146" s="38"/>
      <c r="C146" s="38"/>
      <c r="D146" s="58"/>
      <c r="E146" s="5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</row>
    <row r="147" spans="1:49" ht="14.25">
      <c r="A147" s="58"/>
      <c r="B147" s="38"/>
      <c r="C147" s="38"/>
      <c r="D147" s="58"/>
      <c r="E147" s="5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</row>
    <row r="148" spans="1:49" ht="14.25">
      <c r="A148" s="58"/>
      <c r="B148" s="38"/>
      <c r="C148" s="38"/>
      <c r="D148" s="58"/>
      <c r="E148" s="5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</row>
    <row r="149" spans="1:49" ht="14.25">
      <c r="A149" s="58"/>
      <c r="B149" s="38"/>
      <c r="C149" s="38"/>
      <c r="D149" s="58"/>
      <c r="E149" s="5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</row>
    <row r="150" spans="1:49" ht="14.25">
      <c r="A150" s="58"/>
      <c r="B150" s="38"/>
      <c r="C150" s="38"/>
      <c r="D150" s="58"/>
      <c r="E150" s="5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</row>
    <row r="151" spans="1:49" ht="14.25">
      <c r="A151" s="58"/>
      <c r="B151" s="38"/>
      <c r="C151" s="38"/>
      <c r="D151" s="58"/>
      <c r="E151" s="5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</row>
    <row r="152" spans="1:49" ht="14.25">
      <c r="A152" s="58"/>
      <c r="B152" s="38"/>
      <c r="C152" s="38"/>
      <c r="D152" s="58"/>
      <c r="E152" s="5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</row>
    <row r="153" spans="1:49" ht="14.25">
      <c r="A153" s="58"/>
      <c r="B153" s="38"/>
      <c r="C153" s="38"/>
      <c r="D153" s="58"/>
      <c r="E153" s="5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</row>
    <row r="154" spans="1:49" ht="14.25">
      <c r="A154" s="58"/>
      <c r="B154" s="38"/>
      <c r="C154" s="38"/>
      <c r="D154" s="58"/>
      <c r="E154" s="5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</row>
    <row r="155" spans="1:49" ht="14.25">
      <c r="A155" s="58"/>
      <c r="B155" s="38"/>
      <c r="C155" s="38"/>
      <c r="D155" s="58"/>
      <c r="E155" s="5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</row>
    <row r="156" spans="1:49" ht="14.25">
      <c r="A156" s="58"/>
      <c r="B156" s="38"/>
      <c r="C156" s="38"/>
      <c r="D156" s="58"/>
      <c r="E156" s="5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</row>
    <row r="157" spans="1:49" ht="14.25">
      <c r="A157" s="58"/>
      <c r="B157" s="38"/>
      <c r="C157" s="38"/>
      <c r="D157" s="58"/>
      <c r="E157" s="5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</row>
    <row r="158" spans="1:49" ht="14.25">
      <c r="A158" s="58"/>
      <c r="B158" s="38"/>
      <c r="C158" s="38"/>
      <c r="D158" s="58"/>
      <c r="E158" s="5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</row>
    <row r="159" spans="1:49" ht="14.25">
      <c r="A159" s="58"/>
      <c r="B159" s="38"/>
      <c r="C159" s="38"/>
      <c r="D159" s="58"/>
      <c r="E159" s="5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</row>
    <row r="160" spans="1:49" ht="14.25">
      <c r="A160" s="58"/>
      <c r="B160" s="38"/>
      <c r="C160" s="38"/>
      <c r="D160" s="58"/>
      <c r="E160" s="5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</row>
    <row r="161" spans="1:49" ht="14.25">
      <c r="A161" s="58"/>
      <c r="B161" s="38"/>
      <c r="C161" s="38"/>
      <c r="D161" s="58"/>
      <c r="E161" s="5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</row>
    <row r="162" spans="1:49" ht="14.25">
      <c r="A162" s="58"/>
      <c r="B162" s="38"/>
      <c r="C162" s="38"/>
      <c r="D162" s="58"/>
      <c r="E162" s="5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</row>
    <row r="163" spans="1:49" ht="14.25">
      <c r="A163" s="58"/>
      <c r="B163" s="38"/>
      <c r="C163" s="38"/>
      <c r="D163" s="58"/>
      <c r="E163" s="5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</row>
    <row r="164" spans="1:49" ht="14.25">
      <c r="A164" s="58"/>
      <c r="B164" s="38"/>
      <c r="C164" s="38"/>
      <c r="D164" s="58"/>
      <c r="E164" s="5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</row>
    <row r="165" spans="1:49" ht="14.25">
      <c r="A165" s="58"/>
      <c r="B165" s="38"/>
      <c r="C165" s="38"/>
      <c r="D165" s="58"/>
      <c r="E165" s="5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</row>
    <row r="166" spans="1:49" ht="14.25">
      <c r="A166" s="58"/>
      <c r="B166" s="38"/>
      <c r="C166" s="38"/>
      <c r="D166" s="58"/>
      <c r="E166" s="5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</row>
    <row r="167" spans="1:49" ht="14.25">
      <c r="A167" s="58"/>
      <c r="B167" s="38"/>
      <c r="C167" s="38"/>
      <c r="D167" s="58"/>
      <c r="E167" s="5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</row>
    <row r="168" spans="1:49" ht="14.25">
      <c r="A168" s="58"/>
      <c r="B168" s="38"/>
      <c r="C168" s="38"/>
      <c r="D168" s="58"/>
      <c r="E168" s="5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</row>
    <row r="169" spans="1:49" ht="14.25">
      <c r="A169" s="58"/>
      <c r="B169" s="38"/>
      <c r="C169" s="38"/>
      <c r="D169" s="58"/>
      <c r="E169" s="5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</row>
    <row r="170" spans="1:49" ht="14.25">
      <c r="A170" s="58"/>
      <c r="B170" s="38"/>
      <c r="C170" s="38"/>
      <c r="D170" s="58"/>
      <c r="E170" s="5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</row>
    <row r="171" spans="1:49" ht="14.25">
      <c r="A171" s="58"/>
      <c r="B171" s="38"/>
      <c r="C171" s="38"/>
      <c r="D171" s="58"/>
      <c r="E171" s="5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</row>
    <row r="172" spans="1:49" ht="14.25">
      <c r="A172" s="58"/>
      <c r="B172" s="38"/>
      <c r="C172" s="38"/>
      <c r="D172" s="58"/>
      <c r="E172" s="5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</row>
    <row r="173" spans="1:49" ht="14.25">
      <c r="A173" s="58"/>
      <c r="B173" s="38"/>
      <c r="C173" s="38"/>
      <c r="D173" s="58"/>
      <c r="E173" s="5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</row>
    <row r="174" spans="1:49" ht="14.25">
      <c r="A174" s="58"/>
      <c r="B174" s="38"/>
      <c r="C174" s="38"/>
      <c r="D174" s="58"/>
      <c r="E174" s="5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</row>
    <row r="175" spans="1:49" ht="14.25">
      <c r="A175" s="58"/>
      <c r="B175" s="38"/>
      <c r="C175" s="38"/>
      <c r="D175" s="58"/>
      <c r="E175" s="5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</row>
    <row r="176" spans="1:49" ht="14.25">
      <c r="A176" s="58"/>
      <c r="B176" s="38"/>
      <c r="C176" s="38"/>
      <c r="D176" s="58"/>
      <c r="E176" s="5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</row>
    <row r="177" spans="1:49" ht="14.25">
      <c r="A177" s="58"/>
      <c r="B177" s="38"/>
      <c r="C177" s="38"/>
      <c r="D177" s="58"/>
      <c r="E177" s="5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</row>
    <row r="178" spans="1:49" ht="14.25">
      <c r="A178" s="58"/>
      <c r="B178" s="38"/>
      <c r="C178" s="38"/>
      <c r="D178" s="58"/>
      <c r="E178" s="5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</row>
    <row r="179" spans="1:49" ht="14.25">
      <c r="A179" s="58"/>
      <c r="B179" s="38"/>
      <c r="C179" s="38"/>
      <c r="D179" s="58"/>
      <c r="E179" s="5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</row>
    <row r="180" spans="1:49" ht="14.25">
      <c r="A180" s="58"/>
      <c r="B180" s="38"/>
      <c r="C180" s="38"/>
      <c r="D180" s="58"/>
      <c r="E180" s="5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</row>
    <row r="181" spans="1:49" ht="14.25">
      <c r="A181" s="58"/>
      <c r="B181" s="38"/>
      <c r="C181" s="38"/>
      <c r="D181" s="58"/>
      <c r="E181" s="5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</row>
    <row r="182" spans="1:49" ht="14.25">
      <c r="A182" s="58"/>
      <c r="B182" s="38"/>
      <c r="C182" s="38"/>
      <c r="D182" s="58"/>
      <c r="E182" s="5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</row>
    <row r="183" spans="1:49" ht="14.25">
      <c r="A183" s="58"/>
      <c r="B183" s="38"/>
      <c r="C183" s="38"/>
      <c r="D183" s="58"/>
      <c r="E183" s="5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</row>
    <row r="184" spans="1:49" ht="14.25">
      <c r="A184" s="58"/>
      <c r="B184" s="38"/>
      <c r="C184" s="38"/>
      <c r="D184" s="58"/>
      <c r="E184" s="5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</row>
    <row r="185" spans="1:49" ht="14.25">
      <c r="A185" s="58"/>
      <c r="B185" s="38"/>
      <c r="C185" s="38"/>
      <c r="D185" s="58"/>
      <c r="E185" s="5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</row>
    <row r="186" spans="1:49" ht="14.25">
      <c r="A186" s="58"/>
      <c r="B186" s="38"/>
      <c r="C186" s="38"/>
      <c r="D186" s="58"/>
      <c r="E186" s="5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</row>
    <row r="187" spans="1:49" ht="14.25">
      <c r="A187" s="58"/>
      <c r="B187" s="38"/>
      <c r="C187" s="38"/>
      <c r="D187" s="58"/>
      <c r="E187" s="5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</row>
    <row r="188" spans="1:49" ht="14.25">
      <c r="A188" s="58"/>
      <c r="B188" s="38"/>
      <c r="C188" s="38"/>
      <c r="D188" s="58"/>
      <c r="E188" s="5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</row>
    <row r="189" spans="1:49" ht="14.25">
      <c r="A189" s="58"/>
      <c r="B189" s="38"/>
      <c r="C189" s="38"/>
      <c r="D189" s="58"/>
      <c r="E189" s="5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</row>
    <row r="190" spans="1:49" ht="14.25">
      <c r="A190" s="58"/>
      <c r="B190" s="38"/>
      <c r="C190" s="38"/>
      <c r="D190" s="58"/>
      <c r="E190" s="5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</row>
    <row r="191" spans="1:49" ht="14.25">
      <c r="A191" s="58"/>
      <c r="B191" s="38"/>
      <c r="C191" s="38"/>
      <c r="D191" s="58"/>
      <c r="E191" s="5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</row>
    <row r="192" spans="1:49" ht="14.25">
      <c r="A192" s="58"/>
      <c r="B192" s="38"/>
      <c r="C192" s="38"/>
      <c r="D192" s="58"/>
      <c r="E192" s="5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</row>
    <row r="193" spans="1:49" ht="14.25">
      <c r="A193" s="58"/>
      <c r="B193" s="38"/>
      <c r="C193" s="38"/>
      <c r="D193" s="58"/>
      <c r="E193" s="5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</row>
    <row r="194" spans="1:49" ht="14.25">
      <c r="A194" s="58"/>
      <c r="B194" s="38"/>
      <c r="C194" s="38"/>
      <c r="D194" s="58"/>
      <c r="E194" s="5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</row>
    <row r="195" spans="1:49" ht="14.25">
      <c r="A195" s="58"/>
      <c r="B195" s="38"/>
      <c r="C195" s="38"/>
      <c r="D195" s="58"/>
      <c r="E195" s="5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</row>
    <row r="196" spans="1:49" ht="14.25">
      <c r="A196" s="58"/>
      <c r="B196" s="38"/>
      <c r="C196" s="38"/>
      <c r="D196" s="58"/>
      <c r="E196" s="5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</row>
    <row r="197" spans="1:49" ht="14.25">
      <c r="A197" s="58"/>
      <c r="B197" s="38"/>
      <c r="C197" s="38"/>
      <c r="D197" s="58"/>
      <c r="E197" s="5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</row>
    <row r="198" spans="1:49" ht="14.25">
      <c r="A198" s="58"/>
      <c r="B198" s="38"/>
      <c r="C198" s="38"/>
      <c r="D198" s="58"/>
      <c r="E198" s="5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</row>
    <row r="199" spans="1:49" ht="14.25">
      <c r="A199" s="58"/>
      <c r="B199" s="38"/>
      <c r="C199" s="38"/>
      <c r="D199" s="58"/>
      <c r="E199" s="5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</row>
    <row r="200" spans="1:49" ht="14.25">
      <c r="A200" s="58"/>
      <c r="B200" s="38"/>
      <c r="C200" s="38"/>
      <c r="D200" s="58"/>
      <c r="E200" s="5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</row>
    <row r="201" spans="1:49" ht="14.25">
      <c r="A201" s="58"/>
      <c r="B201" s="38"/>
      <c r="C201" s="38"/>
      <c r="D201" s="58"/>
      <c r="E201" s="5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</row>
    <row r="202" spans="1:49" ht="14.25">
      <c r="A202" s="58"/>
      <c r="B202" s="38"/>
      <c r="C202" s="38"/>
      <c r="D202" s="58"/>
      <c r="E202" s="5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</row>
    <row r="203" spans="1:49" ht="14.25">
      <c r="A203" s="58"/>
      <c r="B203" s="38"/>
      <c r="C203" s="38"/>
      <c r="D203" s="58"/>
      <c r="E203" s="5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</row>
    <row r="204" spans="1:49" ht="14.25">
      <c r="A204" s="58"/>
      <c r="B204" s="38"/>
      <c r="C204" s="38"/>
      <c r="D204" s="58"/>
      <c r="E204" s="5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</row>
    <row r="205" spans="1:49" ht="14.25">
      <c r="A205" s="58"/>
      <c r="B205" s="38"/>
      <c r="C205" s="38"/>
      <c r="D205" s="58"/>
      <c r="E205" s="5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</row>
    <row r="206" spans="1:49" ht="14.25">
      <c r="A206" s="58"/>
      <c r="B206" s="38"/>
      <c r="C206" s="38"/>
      <c r="D206" s="58"/>
      <c r="E206" s="5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</row>
    <row r="207" spans="1:49" ht="14.25">
      <c r="A207" s="58"/>
      <c r="B207" s="38"/>
      <c r="C207" s="38"/>
      <c r="D207" s="58"/>
      <c r="E207" s="5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</row>
    <row r="208" spans="1:49" ht="14.25">
      <c r="A208" s="58"/>
      <c r="B208" s="38"/>
      <c r="C208" s="38"/>
      <c r="D208" s="58"/>
      <c r="E208" s="5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</row>
    <row r="209" spans="1:49" ht="14.25">
      <c r="A209" s="58"/>
      <c r="B209" s="38"/>
      <c r="C209" s="38"/>
      <c r="D209" s="58"/>
      <c r="E209" s="5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</row>
    <row r="210" spans="1:49" ht="14.25">
      <c r="A210" s="58"/>
      <c r="B210" s="38"/>
      <c r="C210" s="38"/>
      <c r="D210" s="58"/>
      <c r="E210" s="5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</row>
    <row r="211" spans="1:49" ht="14.25">
      <c r="A211" s="58"/>
      <c r="B211" s="38"/>
      <c r="C211" s="38"/>
      <c r="D211" s="58"/>
      <c r="E211" s="5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</row>
    <row r="212" spans="1:49" ht="14.25">
      <c r="A212" s="58"/>
      <c r="B212" s="38"/>
      <c r="C212" s="38"/>
      <c r="D212" s="58"/>
      <c r="E212" s="5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</row>
    <row r="213" spans="1:49" ht="14.25">
      <c r="A213" s="58"/>
      <c r="B213" s="38"/>
      <c r="C213" s="38"/>
      <c r="D213" s="58"/>
      <c r="E213" s="5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</row>
    <row r="214" spans="1:49" ht="14.25">
      <c r="A214" s="58"/>
      <c r="B214" s="38"/>
      <c r="C214" s="38"/>
      <c r="D214" s="58"/>
      <c r="E214" s="5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</row>
    <row r="215" spans="1:49" ht="14.25">
      <c r="A215" s="58"/>
      <c r="B215" s="38"/>
      <c r="C215" s="38"/>
      <c r="D215" s="58"/>
      <c r="E215" s="5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</row>
    <row r="216" spans="1:49" ht="14.25">
      <c r="A216" s="58"/>
      <c r="B216" s="38"/>
      <c r="C216" s="38"/>
      <c r="D216" s="58"/>
      <c r="E216" s="5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</row>
    <row r="217" spans="1:49" ht="14.25">
      <c r="A217" s="58"/>
      <c r="B217" s="38"/>
      <c r="C217" s="38"/>
      <c r="D217" s="58"/>
      <c r="E217" s="5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</row>
    <row r="218" spans="1:49" ht="14.25">
      <c r="A218" s="58"/>
      <c r="B218" s="38"/>
      <c r="C218" s="38"/>
      <c r="D218" s="58"/>
      <c r="E218" s="5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</row>
    <row r="219" spans="1:49" ht="14.25">
      <c r="A219" s="58"/>
      <c r="B219" s="38"/>
      <c r="C219" s="38"/>
      <c r="D219" s="58"/>
      <c r="E219" s="5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</row>
    <row r="220" spans="1:49" ht="14.25">
      <c r="A220" s="58"/>
      <c r="B220" s="38"/>
      <c r="C220" s="38"/>
      <c r="D220" s="58"/>
      <c r="E220" s="5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</row>
    <row r="221" spans="1:49" ht="14.25">
      <c r="A221" s="58"/>
      <c r="B221" s="38"/>
      <c r="C221" s="38"/>
      <c r="D221" s="58"/>
      <c r="E221" s="5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</row>
    <row r="222" spans="1:49" ht="14.25">
      <c r="A222" s="58"/>
      <c r="B222" s="38"/>
      <c r="C222" s="38"/>
      <c r="D222" s="58"/>
      <c r="E222" s="5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</row>
    <row r="223" spans="1:49" ht="14.1" customHeight="1">
      <c r="A223" s="58"/>
      <c r="B223" s="38"/>
      <c r="C223" s="38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</row>
    <row r="224" spans="1:49" ht="14.1" customHeight="1">
      <c r="A224" s="58"/>
      <c r="B224" s="38"/>
      <c r="C224" s="38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</row>
    <row r="225" spans="1:49" ht="14.25">
      <c r="A225" s="58"/>
      <c r="B225" s="38"/>
      <c r="C225" s="38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</row>
    <row r="226" spans="1:49" ht="14.25">
      <c r="A226" s="58"/>
      <c r="B226" s="38"/>
      <c r="C226" s="38"/>
      <c r="D226" s="8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</row>
    <row r="227" spans="1:49" ht="14.25">
      <c r="A227" s="58"/>
      <c r="B227" s="38"/>
      <c r="C227" s="38"/>
      <c r="D227" s="8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</row>
    <row r="228" spans="1:49" ht="14.25">
      <c r="A228" s="58"/>
      <c r="B228" s="38"/>
      <c r="C228" s="38"/>
      <c r="D228" s="8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</row>
    <row r="229" spans="1:49" ht="14.25">
      <c r="A229" s="58"/>
      <c r="B229" s="38"/>
      <c r="C229" s="38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</row>
    <row r="230" spans="1:49" ht="14.25">
      <c r="A230" s="58"/>
      <c r="B230" s="38"/>
      <c r="C230" s="38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</row>
    <row r="231" spans="1:49" ht="14.25">
      <c r="A231" s="58"/>
      <c r="B231" s="38"/>
      <c r="C231" s="38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</row>
    <row r="232" spans="1:49" ht="14.25">
      <c r="A232" s="58"/>
      <c r="B232" s="38"/>
      <c r="C232" s="38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</row>
    <row r="233" spans="1:49" ht="14.25">
      <c r="A233" s="58"/>
      <c r="B233" s="38"/>
      <c r="C233" s="38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</row>
    <row r="234" spans="1:49" ht="14.25">
      <c r="A234" s="58"/>
      <c r="B234" s="38"/>
      <c r="C234" s="38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</row>
    <row r="235" spans="1:49" ht="14.25">
      <c r="A235" s="58"/>
      <c r="B235" s="38"/>
      <c r="C235" s="38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</row>
    <row r="236" spans="1:49" ht="14.25">
      <c r="A236" s="58"/>
      <c r="B236" s="38"/>
      <c r="C236" s="3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</row>
    <row r="237" spans="1:49" ht="14.25">
      <c r="A237" s="58"/>
      <c r="B237" s="38"/>
      <c r="C237" s="38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</row>
    <row r="238" spans="1:49" ht="14.25">
      <c r="A238" s="58"/>
      <c r="B238" s="38"/>
      <c r="C238" s="38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</row>
    <row r="239" spans="1:49" ht="14.25">
      <c r="A239" s="58"/>
      <c r="B239" s="38"/>
      <c r="C239" s="38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</row>
    <row r="240" spans="1:49" ht="14.25">
      <c r="A240" s="58"/>
      <c r="B240" s="38"/>
      <c r="C240" s="38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</row>
    <row r="241" spans="1:49" ht="14.25">
      <c r="A241" s="14"/>
      <c r="B241" s="14"/>
      <c r="C241" s="62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</row>
    <row r="242" spans="1:49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</row>
    <row r="243" spans="1:49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</row>
    <row r="244" spans="1:49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</row>
    <row r="245" spans="1:49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</row>
    <row r="246" spans="1:49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</row>
    <row r="247" spans="1:49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</row>
    <row r="248" spans="1:49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</row>
    <row r="249" spans="1: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</row>
    <row r="250" spans="1:49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</row>
    <row r="251" spans="1:49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</row>
    <row r="252" spans="1:49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</row>
    <row r="253" spans="1:49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</row>
    <row r="254" spans="1:49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</row>
    <row r="255" spans="1:49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</row>
    <row r="256" spans="1:49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</row>
    <row r="257" spans="1:49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</row>
    <row r="258" spans="1:49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</row>
    <row r="259" spans="1:4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</row>
    <row r="260" spans="1:49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</row>
    <row r="261" spans="1:49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</row>
    <row r="262" spans="1:49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</row>
    <row r="263" spans="1:49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</row>
    <row r="264" spans="1:49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</row>
    <row r="265" spans="1:49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</row>
    <row r="266" spans="1:49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</row>
    <row r="267" spans="1:49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</row>
    <row r="268" spans="1:49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</row>
    <row r="269" spans="1:4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</row>
    <row r="270" spans="1:49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</row>
    <row r="271" spans="1:49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</row>
    <row r="272" spans="1:49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</row>
    <row r="273" spans="1:49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</row>
    <row r="274" spans="1:49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</row>
    <row r="275" spans="1:49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</row>
    <row r="276" spans="1:49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</row>
    <row r="277" spans="1:49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</row>
    <row r="278" spans="1:49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</row>
    <row r="279" spans="1:4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</row>
    <row r="280" spans="1:49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</row>
    <row r="281" spans="1:49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</row>
    <row r="282" spans="1:49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</row>
    <row r="283" spans="1:49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</row>
    <row r="284" spans="1:49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</row>
    <row r="285" spans="1:49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</row>
    <row r="286" spans="1:49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</row>
    <row r="287" spans="1:49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</row>
    <row r="288" spans="1:49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</row>
    <row r="289" spans="1:4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</row>
    <row r="290" spans="1:49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</row>
    <row r="291" spans="1:49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</row>
    <row r="292" spans="1:49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</row>
    <row r="293" spans="1:49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</row>
    <row r="294" spans="1:49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</row>
    <row r="295" spans="1:49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</row>
    <row r="296" spans="1:49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</row>
    <row r="297" spans="1:49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</row>
    <row r="298" spans="1:49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</row>
    <row r="299" spans="1:4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</row>
    <row r="300" spans="1:49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</row>
    <row r="301" spans="1:49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</row>
    <row r="302" spans="1:49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</row>
    <row r="303" spans="1:49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</row>
    <row r="304" spans="1:49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</row>
    <row r="305" spans="1:49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</row>
    <row r="306" spans="1:49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</row>
    <row r="307" spans="1:49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</row>
    <row r="308" spans="1:49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</row>
    <row r="309" spans="1:4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</row>
    <row r="310" spans="1:49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</row>
    <row r="311" spans="1:49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</row>
    <row r="312" spans="1:49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</row>
    <row r="313" spans="1:49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</row>
    <row r="314" spans="1:49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</row>
    <row r="315" spans="1:49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</row>
    <row r="316" spans="1:49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</row>
    <row r="317" spans="1:49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</row>
    <row r="318" spans="1:49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</row>
    <row r="319" spans="1:4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</row>
    <row r="320" spans="1:49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</row>
    <row r="321" spans="1:49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</row>
    <row r="322" spans="1:49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</row>
    <row r="323" spans="1:49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</row>
    <row r="324" spans="1:49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</row>
    <row r="325" spans="1:49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</row>
    <row r="326" spans="1:49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</row>
    <row r="327" spans="1:49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</row>
    <row r="328" spans="1:49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</row>
    <row r="329" spans="1:4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</row>
    <row r="330" spans="1:49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</row>
    <row r="331" spans="1:49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</row>
    <row r="332" spans="1:49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</row>
    <row r="333" spans="1:49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</row>
    <row r="334" spans="1:49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</row>
    <row r="335" spans="1:49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</row>
    <row r="336" spans="1:49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</row>
    <row r="337" spans="1:49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</row>
    <row r="338" spans="1:49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</row>
    <row r="339" spans="1:4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</row>
    <row r="340" spans="1:49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</row>
    <row r="341" spans="1:49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</row>
    <row r="342" spans="1:49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</row>
    <row r="343" spans="1:49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</row>
    <row r="344" spans="1:49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</row>
    <row r="345" spans="1:49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</row>
    <row r="346" spans="1:49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</row>
    <row r="347" spans="1:49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</row>
    <row r="348" spans="1:49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</row>
    <row r="349" spans="1: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</row>
    <row r="350" spans="1:49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</row>
    <row r="351" spans="1:49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</row>
    <row r="352" spans="1:49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</row>
    <row r="353" spans="1:49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</row>
    <row r="354" spans="1:49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</row>
    <row r="355" spans="1:49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</row>
    <row r="356" spans="1:49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</row>
    <row r="357" spans="1:49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</row>
    <row r="358" spans="1:49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</row>
    <row r="359" spans="1:4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</row>
    <row r="360" spans="1:49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</row>
    <row r="361" spans="1:49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</row>
    <row r="362" spans="1:49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</row>
    <row r="363" spans="1:49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</row>
    <row r="364" spans="1:49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</row>
    <row r="365" spans="1:49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</row>
    <row r="366" spans="1:49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</row>
    <row r="367" spans="1:49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</row>
    <row r="368" spans="1:49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</row>
    <row r="369" spans="1:4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</row>
    <row r="370" spans="1:49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</row>
    <row r="371" spans="1:49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</row>
    <row r="372" spans="1:49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</row>
    <row r="373" spans="1:49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</row>
    <row r="374" spans="1:49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</row>
    <row r="375" spans="1:49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</row>
    <row r="376" spans="1:49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</row>
    <row r="377" spans="1:49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</row>
    <row r="378" spans="1:49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</row>
    <row r="379" spans="1:4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</row>
    <row r="380" spans="1:49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</row>
    <row r="381" spans="1:49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</row>
    <row r="382" spans="1:49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</row>
    <row r="383" spans="1:49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</row>
    <row r="384" spans="1:49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</row>
    <row r="385" spans="1:49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</row>
    <row r="386" spans="1:49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</row>
    <row r="387" spans="1:49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</row>
    <row r="388" spans="1:49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</row>
    <row r="389" spans="1:4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</row>
    <row r="390" spans="1:49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</row>
    <row r="391" spans="1:49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</row>
    <row r="392" spans="1:49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</row>
    <row r="393" spans="1:49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</row>
    <row r="394" spans="1:49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</row>
    <row r="395" spans="1:49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</row>
    <row r="396" spans="1:49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</row>
    <row r="397" spans="1:49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</row>
    <row r="398" spans="1:49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</row>
    <row r="399" spans="1:4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</row>
    <row r="400" spans="1:49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</row>
    <row r="401" spans="1:49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</row>
    <row r="402" spans="1:49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</row>
    <row r="403" spans="1:49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</row>
    <row r="404" spans="1:49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</row>
    <row r="405" spans="1:49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</row>
    <row r="406" spans="1:49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</row>
    <row r="407" spans="1:49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</row>
    <row r="408" spans="1:49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</row>
    <row r="409" spans="1:4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</row>
    <row r="410" spans="1:49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</row>
    <row r="411" spans="1:49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</row>
    <row r="412" spans="1:49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</row>
    <row r="413" spans="1:49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</row>
    <row r="414" spans="1:49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</row>
    <row r="415" spans="1:49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</row>
    <row r="416" spans="1:49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</row>
    <row r="417" spans="1:49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</row>
    <row r="418" spans="1:49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</row>
    <row r="419" spans="1:4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</row>
    <row r="420" spans="1:49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</row>
    <row r="421" spans="1:49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</row>
    <row r="422" spans="1:49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</row>
    <row r="423" spans="1:49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</row>
    <row r="424" spans="1:49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</row>
    <row r="425" spans="1:49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</row>
    <row r="426" spans="1:49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</row>
    <row r="427" spans="1:49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</row>
    <row r="428" spans="1:49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</row>
    <row r="429" spans="1:4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</row>
    <row r="430" spans="1:49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</row>
    <row r="431" spans="1:49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</row>
    <row r="432" spans="1:49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</row>
    <row r="433" spans="1:49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</row>
    <row r="434" spans="1:49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</row>
    <row r="435" spans="1:49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</row>
    <row r="436" spans="1:49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</row>
    <row r="437" spans="1:49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</row>
    <row r="438" spans="1:49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</row>
    <row r="439" spans="1:4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</row>
    <row r="440" spans="1:49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</row>
    <row r="441" spans="1:49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</row>
    <row r="442" spans="1:49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</row>
    <row r="443" spans="1:49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</row>
    <row r="444" spans="1:49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</row>
    <row r="445" spans="1:49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</row>
    <row r="446" spans="1:49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</row>
    <row r="447" spans="1:49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</row>
    <row r="448" spans="1:49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</row>
    <row r="449" spans="1: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</row>
    <row r="450" spans="1:49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</row>
    <row r="451" spans="1:49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</row>
    <row r="452" spans="1:49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</row>
    <row r="453" spans="1:49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</row>
    <row r="454" spans="1:49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</row>
    <row r="455" spans="1:49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</row>
    <row r="456" spans="1:49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</row>
    <row r="457" spans="1:49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</row>
    <row r="458" spans="1:49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</row>
    <row r="459" spans="1:4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</row>
    <row r="460" spans="1:49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</row>
    <row r="461" spans="1:49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</row>
    <row r="462" spans="1:49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</row>
    <row r="463" spans="1:49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</row>
    <row r="464" spans="1:49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</row>
    <row r="465" spans="1:49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</row>
    <row r="466" spans="1:49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</row>
    <row r="467" spans="1:49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</row>
    <row r="468" spans="1:49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</row>
    <row r="469" spans="1:4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</row>
    <row r="470" spans="1:49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</row>
    <row r="471" spans="1:49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</row>
    <row r="472" spans="1:49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</row>
    <row r="473" spans="1:49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</row>
    <row r="474" spans="1:49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</row>
    <row r="475" spans="1:49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</row>
    <row r="476" spans="1:49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</row>
    <row r="477" spans="1:49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</row>
    <row r="478" spans="1:49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</row>
    <row r="479" spans="1:4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</row>
    <row r="480" spans="1:49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</row>
    <row r="481" spans="1:49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</row>
    <row r="482" spans="1:49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</row>
    <row r="483" spans="1:49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</row>
    <row r="484" spans="1:49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</row>
    <row r="485" spans="1:49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</row>
    <row r="486" spans="1:49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</row>
    <row r="487" spans="1:49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</row>
    <row r="488" spans="1:49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</row>
    <row r="489" spans="1:4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</row>
    <row r="490" spans="1:49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</row>
    <row r="491" spans="1:49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</row>
    <row r="492" spans="1:49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</row>
    <row r="493" spans="1:49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</row>
    <row r="494" spans="1:49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</row>
    <row r="495" spans="1:49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</row>
    <row r="496" spans="1:49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</row>
    <row r="497" spans="1:49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</row>
    <row r="498" spans="1:49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</row>
    <row r="499" spans="1:4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</row>
    <row r="500" spans="1:49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</row>
  </sheetData>
  <pageMargins left="0.75" right="0.75" top="1" bottom="1" header="0.5" footer="0.5"/>
  <pageSetup paperSize="9" scale="0" firstPageNumber="0" fitToWidth="0"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500"/>
  <sheetViews>
    <sheetView zoomScaleNormal="290" workbookViewId="0"/>
  </sheetViews>
  <sheetFormatPr defaultColWidth="11.42578125" defaultRowHeight="12.75"/>
  <cols>
    <col min="1" max="1" width="28" customWidth="1"/>
    <col min="2" max="2" width="16.140625" customWidth="1"/>
    <col min="3" max="3" width="16.42578125" customWidth="1"/>
    <col min="5" max="7" width="11.42578125" customWidth="1"/>
  </cols>
  <sheetData>
    <row r="1" spans="1:50" ht="15">
      <c r="A1" s="9" t="s">
        <v>87</v>
      </c>
      <c r="B1" s="39"/>
      <c r="C1" s="39"/>
      <c r="D1" s="39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ht="14.25">
      <c r="A2" s="7" t="s">
        <v>88</v>
      </c>
      <c r="B2" s="39"/>
      <c r="C2" s="39"/>
      <c r="D2" s="39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ht="15">
      <c r="A3" s="9" t="s">
        <v>89</v>
      </c>
      <c r="B3" s="39"/>
      <c r="C3" s="39"/>
      <c r="D3" s="39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ht="15">
      <c r="A4" s="39" t="s">
        <v>61</v>
      </c>
      <c r="B4" s="39"/>
      <c r="C4" s="39"/>
      <c r="D4" s="39"/>
      <c r="E4" s="37"/>
      <c r="F4" s="37"/>
      <c r="G4" s="37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ht="27.95" customHeight="1">
      <c r="A6" s="69"/>
      <c r="B6" s="70" t="s">
        <v>41</v>
      </c>
      <c r="C6" s="70" t="s">
        <v>43</v>
      </c>
      <c r="D6" s="11"/>
      <c r="E6" s="37"/>
      <c r="F6" s="37"/>
      <c r="G6" s="37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ht="14.25">
      <c r="A7" s="7" t="s">
        <v>90</v>
      </c>
      <c r="B7" s="40">
        <v>-1.30772810339292</v>
      </c>
      <c r="C7" s="40">
        <v>-1.2556518537891901</v>
      </c>
      <c r="D7" s="11"/>
      <c r="E7" s="37"/>
      <c r="F7" s="37"/>
      <c r="G7" s="37"/>
      <c r="H7" s="6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ht="14.25">
      <c r="A8" s="7" t="s">
        <v>91</v>
      </c>
      <c r="B8" s="40">
        <v>-2.0393181324582601</v>
      </c>
      <c r="C8" s="40">
        <v>-2.0936775245538599</v>
      </c>
      <c r="D8" s="11"/>
      <c r="E8" s="37"/>
      <c r="F8" s="37"/>
      <c r="G8" s="37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14.25">
      <c r="A9" s="7" t="s">
        <v>92</v>
      </c>
      <c r="B9" s="40">
        <v>2.9457205969992399</v>
      </c>
      <c r="C9" s="40">
        <v>3.1810132469552901</v>
      </c>
      <c r="D9" s="11"/>
      <c r="E9" s="37"/>
      <c r="F9" s="37"/>
      <c r="G9" s="37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ht="14.25">
      <c r="A10" s="7" t="s">
        <v>93</v>
      </c>
      <c r="B10" s="40">
        <v>4.9407933540097497</v>
      </c>
      <c r="C10" s="40">
        <v>5.2948425256714504</v>
      </c>
      <c r="D10" s="11"/>
      <c r="E10" s="37"/>
      <c r="F10" s="37"/>
      <c r="G10" s="37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14.25">
      <c r="A11" s="7" t="s">
        <v>94</v>
      </c>
      <c r="B11" s="40">
        <v>1.54</v>
      </c>
      <c r="C11" s="40">
        <v>1.76</v>
      </c>
      <c r="D11" s="11"/>
      <c r="E11" s="37"/>
      <c r="F11" s="37"/>
      <c r="G11" s="37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ht="14.25">
      <c r="A12" s="7" t="s">
        <v>95</v>
      </c>
      <c r="B12" s="40">
        <v>0.66508424504783104</v>
      </c>
      <c r="C12" s="40">
        <v>0.74911704082341801</v>
      </c>
      <c r="D12" s="11"/>
      <c r="E12" s="37"/>
      <c r="F12" s="37"/>
      <c r="G12" s="37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ht="14.25">
      <c r="A13" s="7" t="s">
        <v>96</v>
      </c>
      <c r="B13" s="40">
        <v>0.40063693709787701</v>
      </c>
      <c r="C13" s="40">
        <v>0.447394317020678</v>
      </c>
      <c r="D13" s="11"/>
      <c r="E13" s="37"/>
      <c r="F13" s="37"/>
      <c r="G13" s="37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ht="14.25">
      <c r="A14" s="7" t="s">
        <v>97</v>
      </c>
      <c r="B14" s="40">
        <v>-4.12</v>
      </c>
      <c r="C14" s="40">
        <v>-4.29</v>
      </c>
      <c r="D14" s="11"/>
      <c r="E14" s="37"/>
      <c r="F14" s="37"/>
      <c r="G14" s="37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ht="14.25">
      <c r="A15" s="7" t="s">
        <v>98</v>
      </c>
      <c r="B15" s="40">
        <v>-0.199302761329233</v>
      </c>
      <c r="C15" s="40">
        <v>-0.226398434183819</v>
      </c>
      <c r="D15" s="11"/>
      <c r="E15" s="37"/>
      <c r="F15" s="37"/>
      <c r="G15" s="37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ht="14.25">
      <c r="A16" s="67" t="s">
        <v>99</v>
      </c>
      <c r="B16" s="68">
        <v>-0.31150957942009</v>
      </c>
      <c r="C16" s="68">
        <v>-0.33151972293853799</v>
      </c>
      <c r="D16" s="11"/>
      <c r="E16" s="37"/>
      <c r="F16" s="37"/>
      <c r="G16" s="37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ht="14.25">
      <c r="A17" s="36"/>
      <c r="B17" s="38"/>
      <c r="C17" s="38"/>
      <c r="D17" s="11"/>
      <c r="E17" s="37"/>
      <c r="F17" s="37"/>
      <c r="G17" s="37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ht="14.25">
      <c r="A18" s="36"/>
      <c r="B18" s="38"/>
      <c r="C18" s="38"/>
      <c r="D18" s="11"/>
      <c r="E18" s="37"/>
      <c r="F18" s="37"/>
      <c r="G18" s="37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ht="14.25">
      <c r="A19" s="36"/>
      <c r="B19" s="38"/>
      <c r="C19" s="38"/>
      <c r="D19" s="11"/>
      <c r="E19" s="37"/>
      <c r="F19" s="37"/>
      <c r="G19" s="37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ht="14.25">
      <c r="A20" s="36"/>
      <c r="B20" s="38"/>
      <c r="C20" s="38"/>
      <c r="D20" s="11"/>
      <c r="E20" s="37"/>
      <c r="F20" s="37"/>
      <c r="G20" s="37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ht="14.25">
      <c r="A21" s="36"/>
      <c r="B21" s="38"/>
      <c r="C21" s="38"/>
      <c r="D21" s="11"/>
      <c r="E21" s="37"/>
      <c r="F21" s="37"/>
      <c r="G21" s="37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ht="14.25">
      <c r="A22" s="36"/>
      <c r="B22" s="38"/>
      <c r="C22" s="38"/>
      <c r="D22" s="11"/>
      <c r="E22" s="37"/>
      <c r="F22" s="37"/>
      <c r="G22" s="37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ht="14.25">
      <c r="A23" s="36"/>
      <c r="B23" s="38"/>
      <c r="C23" s="38"/>
      <c r="D23" s="11"/>
      <c r="E23" s="37"/>
      <c r="F23" s="37"/>
      <c r="G23" s="37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ht="14.25">
      <c r="A24" s="36"/>
      <c r="B24" s="38"/>
      <c r="C24" s="38"/>
      <c r="D24" s="11"/>
      <c r="E24" s="37"/>
      <c r="F24" s="37"/>
      <c r="G24" s="37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ht="14.25">
      <c r="A25" s="36"/>
      <c r="B25" s="38"/>
      <c r="C25" s="38"/>
      <c r="D25" s="11"/>
      <c r="E25" s="37"/>
      <c r="F25" s="37"/>
      <c r="G25" s="37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 ht="14.25">
      <c r="A26" s="36"/>
      <c r="B26" s="38"/>
      <c r="C26" s="38"/>
      <c r="D26" s="11"/>
      <c r="E26" s="37"/>
      <c r="F26" s="37"/>
      <c r="G26" s="37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 ht="14.25">
      <c r="A27" s="36"/>
      <c r="B27" s="38"/>
      <c r="C27" s="38"/>
      <c r="D27" s="11"/>
      <c r="E27" s="37"/>
      <c r="F27" s="37"/>
      <c r="G27" s="37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 ht="14.25">
      <c r="A28" s="36"/>
      <c r="B28" s="38"/>
      <c r="C28" s="38"/>
      <c r="D28" s="11"/>
      <c r="E28" s="37"/>
      <c r="F28" s="37"/>
      <c r="G28" s="37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ht="14.25">
      <c r="A29" s="36"/>
      <c r="B29" s="38"/>
      <c r="C29" s="38"/>
      <c r="D29" s="11"/>
      <c r="E29" s="37"/>
      <c r="F29" s="37"/>
      <c r="G29" s="37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ht="14.25">
      <c r="A30" s="36"/>
      <c r="B30" s="38"/>
      <c r="C30" s="38"/>
      <c r="D30" s="11"/>
      <c r="E30" s="37"/>
      <c r="F30" s="37"/>
      <c r="G30" s="37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ht="14.25">
      <c r="A31" s="36"/>
      <c r="B31" s="38"/>
      <c r="C31" s="38"/>
      <c r="D31" s="11"/>
      <c r="E31" s="37"/>
      <c r="F31" s="37"/>
      <c r="G31" s="37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ht="14.25">
      <c r="A32" s="36"/>
      <c r="B32" s="38"/>
      <c r="C32" s="38"/>
      <c r="D32" s="11"/>
      <c r="E32" s="37"/>
      <c r="F32" s="37"/>
      <c r="G32" s="37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 ht="14.25">
      <c r="A33" s="36"/>
      <c r="B33" s="38"/>
      <c r="C33" s="38"/>
      <c r="D33" s="11"/>
      <c r="E33" s="37"/>
      <c r="F33" s="37"/>
      <c r="G33" s="37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 ht="14.25">
      <c r="A34" s="36"/>
      <c r="B34" s="38"/>
      <c r="C34" s="38"/>
      <c r="D34" s="11"/>
      <c r="E34" s="37"/>
      <c r="F34" s="37"/>
      <c r="G34" s="37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 ht="14.25">
      <c r="A35" s="36"/>
      <c r="B35" s="38"/>
      <c r="C35" s="38"/>
      <c r="D35" s="11"/>
      <c r="E35" s="37"/>
      <c r="F35" s="37"/>
      <c r="G35" s="37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 ht="14.25">
      <c r="A36" s="36"/>
      <c r="B36" s="38"/>
      <c r="C36" s="38"/>
      <c r="D36" s="11"/>
      <c r="E36" s="37"/>
      <c r="F36" s="37"/>
      <c r="G36" s="37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ht="14.25">
      <c r="A37" s="36"/>
      <c r="B37" s="38"/>
      <c r="C37" s="38"/>
      <c r="D37" s="11"/>
      <c r="E37" s="37"/>
      <c r="F37" s="37"/>
      <c r="G37" s="37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ht="14.25">
      <c r="A38" s="36"/>
      <c r="B38" s="38"/>
      <c r="C38" s="38"/>
      <c r="D38" s="11"/>
      <c r="E38" s="37"/>
      <c r="F38" s="37"/>
      <c r="G38" s="37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ht="14.25">
      <c r="A39" s="36"/>
      <c r="B39" s="38"/>
      <c r="C39" s="38"/>
      <c r="D39" s="11"/>
      <c r="E39" s="37"/>
      <c r="F39" s="37"/>
      <c r="G39" s="37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 ht="14.25">
      <c r="A40" s="36"/>
      <c r="B40" s="38"/>
      <c r="C40" s="38"/>
      <c r="D40" s="11"/>
      <c r="E40" s="37"/>
      <c r="F40" s="37"/>
      <c r="G40" s="37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 ht="14.25">
      <c r="A41" s="36"/>
      <c r="B41" s="38"/>
      <c r="C41" s="38"/>
      <c r="D41" s="11"/>
      <c r="E41" s="37"/>
      <c r="F41" s="37"/>
      <c r="G41" s="37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ht="14.25">
      <c r="A42" s="36"/>
      <c r="B42" s="38"/>
      <c r="C42" s="38"/>
      <c r="D42" s="11"/>
      <c r="E42" s="37"/>
      <c r="F42" s="37"/>
      <c r="G42" s="37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ht="14.25">
      <c r="A43" s="36"/>
      <c r="B43" s="38"/>
      <c r="C43" s="38"/>
      <c r="D43" s="11"/>
      <c r="E43" s="37"/>
      <c r="F43" s="37"/>
      <c r="G43" s="37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ht="14.25">
      <c r="A44" s="36"/>
      <c r="B44" s="38"/>
      <c r="C44" s="38"/>
      <c r="D44" s="11"/>
      <c r="E44" s="37"/>
      <c r="F44" s="37"/>
      <c r="G44" s="37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ht="14.25">
      <c r="A45" s="36"/>
      <c r="B45" s="38"/>
      <c r="C45" s="38"/>
      <c r="D45" s="11"/>
      <c r="E45" s="37"/>
      <c r="F45" s="37"/>
      <c r="G45" s="37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ht="14.25">
      <c r="A46" s="36"/>
      <c r="B46" s="38"/>
      <c r="C46" s="38"/>
      <c r="D46" s="11"/>
      <c r="E46" s="37"/>
      <c r="F46" s="37"/>
      <c r="G46" s="37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ht="14.25">
      <c r="A47" s="36"/>
      <c r="B47" s="38"/>
      <c r="C47" s="38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ht="14.25">
      <c r="A48" s="36"/>
      <c r="B48" s="38"/>
      <c r="C48" s="38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ht="14.25">
      <c r="A49" s="36"/>
      <c r="B49" s="38"/>
      <c r="C49" s="38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 spans="1:50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 spans="1:5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500"/>
  <sheetViews>
    <sheetView zoomScaleNormal="290" workbookViewId="0"/>
  </sheetViews>
  <sheetFormatPr defaultColWidth="11.42578125" defaultRowHeight="12.75"/>
  <cols>
    <col min="1" max="1" width="19.28515625" customWidth="1"/>
    <col min="2" max="2" width="16.140625" customWidth="1"/>
    <col min="3" max="3" width="16.42578125" customWidth="1"/>
    <col min="5" max="7" width="11.42578125" customWidth="1"/>
  </cols>
  <sheetData>
    <row r="1" spans="1:50" ht="15">
      <c r="A1" s="9" t="s">
        <v>100</v>
      </c>
      <c r="B1" s="39"/>
      <c r="C1" s="39"/>
      <c r="D1" s="39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ht="14.25">
      <c r="A2" s="7" t="s">
        <v>101</v>
      </c>
      <c r="B2" s="39"/>
      <c r="C2" s="39"/>
      <c r="D2" s="39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ht="15">
      <c r="A3" s="9" t="s">
        <v>102</v>
      </c>
      <c r="B3" s="39"/>
      <c r="C3" s="39"/>
      <c r="D3" s="39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ht="15">
      <c r="A4" s="39" t="s">
        <v>103</v>
      </c>
      <c r="B4" s="39"/>
      <c r="C4" s="39"/>
      <c r="D4" s="39"/>
      <c r="E4" s="37"/>
      <c r="F4" s="37"/>
      <c r="G4" s="37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ht="27.95" customHeight="1">
      <c r="A6" s="69"/>
      <c r="B6" s="70" t="s">
        <v>41</v>
      </c>
      <c r="C6" s="70" t="s">
        <v>43</v>
      </c>
      <c r="D6" s="11"/>
      <c r="E6" s="37"/>
      <c r="F6" s="37"/>
      <c r="G6" s="37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ht="14.25">
      <c r="A7" s="7" t="s">
        <v>104</v>
      </c>
      <c r="B7" s="38">
        <v>-0.31</v>
      </c>
      <c r="C7" s="38">
        <v>-0.33</v>
      </c>
      <c r="D7" s="101"/>
      <c r="E7" s="37"/>
      <c r="F7" s="37"/>
      <c r="G7" s="37"/>
      <c r="H7" s="6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ht="14.25">
      <c r="A8" s="7" t="s">
        <v>68</v>
      </c>
      <c r="B8" s="38">
        <v>-0.23</v>
      </c>
      <c r="C8" s="38">
        <v>-0.22</v>
      </c>
      <c r="D8" s="101"/>
      <c r="E8" s="37"/>
      <c r="F8" s="37"/>
      <c r="G8" s="37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14.25">
      <c r="A9" s="7" t="s">
        <v>105</v>
      </c>
      <c r="B9" s="38">
        <v>0.01</v>
      </c>
      <c r="C9" s="38">
        <v>0.01</v>
      </c>
      <c r="D9" s="101"/>
      <c r="E9" s="37"/>
      <c r="F9" s="37"/>
      <c r="G9" s="37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ht="14.25">
      <c r="A10" s="7" t="s">
        <v>69</v>
      </c>
      <c r="B10" s="38">
        <v>-0.22</v>
      </c>
      <c r="C10" s="38">
        <v>-0.18</v>
      </c>
      <c r="D10" s="101"/>
      <c r="E10" s="37"/>
      <c r="F10" s="37"/>
      <c r="G10" s="37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14.25">
      <c r="A11" s="7" t="s">
        <v>70</v>
      </c>
      <c r="B11" s="38">
        <v>0.02</v>
      </c>
      <c r="C11" s="38">
        <v>0.03</v>
      </c>
      <c r="D11" s="101"/>
      <c r="E11" s="37"/>
      <c r="F11" s="37"/>
      <c r="G11" s="37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ht="14.25">
      <c r="A12" s="7" t="s">
        <v>106</v>
      </c>
      <c r="B12" s="38">
        <v>0.05</v>
      </c>
      <c r="C12" s="38">
        <v>0.05</v>
      </c>
      <c r="D12" s="101"/>
      <c r="E12" s="37"/>
      <c r="F12" s="37"/>
      <c r="G12" s="37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ht="14.25">
      <c r="A13" s="7" t="s">
        <v>107</v>
      </c>
      <c r="B13" s="38">
        <v>0</v>
      </c>
      <c r="C13" s="38">
        <v>0</v>
      </c>
      <c r="D13" s="101"/>
      <c r="E13" s="37"/>
      <c r="F13" s="37"/>
      <c r="G13" s="37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ht="14.25">
      <c r="A14" s="7" t="s">
        <v>108</v>
      </c>
      <c r="B14" s="38">
        <v>0.04</v>
      </c>
      <c r="C14" s="38">
        <v>0.03</v>
      </c>
      <c r="D14" s="101"/>
      <c r="E14" s="37"/>
      <c r="F14" s="37"/>
      <c r="G14" s="37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ht="14.25">
      <c r="A15" s="7" t="s">
        <v>109</v>
      </c>
      <c r="B15" s="38">
        <v>0.1</v>
      </c>
      <c r="C15" s="38">
        <v>0.03</v>
      </c>
      <c r="D15" s="101"/>
      <c r="E15" s="37"/>
      <c r="F15" s="37"/>
      <c r="G15" s="37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ht="14.25">
      <c r="A16" s="7" t="s">
        <v>110</v>
      </c>
      <c r="B16" s="38">
        <v>-9.8085774929634897E-2</v>
      </c>
      <c r="C16" s="38">
        <v>-0.104506013250161</v>
      </c>
      <c r="D16" s="101"/>
      <c r="E16" s="37"/>
      <c r="F16" s="37"/>
      <c r="G16" s="37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ht="14.25">
      <c r="A17" s="67" t="s">
        <v>111</v>
      </c>
      <c r="B17" s="53">
        <v>-3.1413190957219103E-2</v>
      </c>
      <c r="C17" s="53">
        <v>-3.3560956296729803E-2</v>
      </c>
      <c r="D17" s="101"/>
      <c r="E17" s="37"/>
      <c r="F17" s="37"/>
      <c r="G17" s="37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ht="14.25">
      <c r="A18" s="36"/>
      <c r="B18" s="38"/>
      <c r="C18" s="38"/>
      <c r="D18" s="11"/>
      <c r="E18" s="37"/>
      <c r="F18" s="37"/>
      <c r="G18" s="37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ht="14.25">
      <c r="A19" s="36"/>
      <c r="B19" s="38"/>
      <c r="C19" s="38"/>
      <c r="D19" s="11"/>
      <c r="E19" s="37"/>
      <c r="F19" s="37"/>
      <c r="G19" s="37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ht="14.25">
      <c r="A20" s="36"/>
      <c r="B20" s="38"/>
      <c r="C20" s="38"/>
      <c r="D20" s="11"/>
      <c r="E20" s="37"/>
      <c r="F20" s="37"/>
      <c r="G20" s="37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ht="14.25">
      <c r="A21" s="36"/>
      <c r="B21" s="38"/>
      <c r="C21" s="38"/>
      <c r="D21" s="11"/>
      <c r="E21" s="37"/>
      <c r="F21" s="37"/>
      <c r="G21" s="37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ht="14.25">
      <c r="A22" s="36"/>
      <c r="B22" s="38"/>
      <c r="C22" s="38"/>
      <c r="D22" s="11"/>
      <c r="E22" s="37"/>
      <c r="F22" s="37"/>
      <c r="G22" s="37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ht="14.25">
      <c r="A23" s="36"/>
      <c r="B23" s="38"/>
      <c r="C23" s="38"/>
      <c r="D23" s="11"/>
      <c r="E23" s="37"/>
      <c r="F23" s="37"/>
      <c r="G23" s="37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ht="14.25">
      <c r="A24" s="36"/>
      <c r="B24" s="38"/>
      <c r="C24" s="38"/>
      <c r="D24" s="11"/>
      <c r="E24" s="37"/>
      <c r="F24" s="37"/>
      <c r="G24" s="37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ht="14.25">
      <c r="A25" s="36"/>
      <c r="B25" s="38"/>
      <c r="C25" s="38"/>
      <c r="D25" s="11"/>
      <c r="E25" s="37"/>
      <c r="F25" s="37"/>
      <c r="G25" s="37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 ht="14.25">
      <c r="A26" s="36"/>
      <c r="B26" s="38"/>
      <c r="C26" s="38"/>
      <c r="D26" s="11"/>
      <c r="E26" s="37"/>
      <c r="F26" s="37"/>
      <c r="G26" s="37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 ht="14.25">
      <c r="A27" s="36"/>
      <c r="B27" s="38"/>
      <c r="C27" s="38"/>
      <c r="D27" s="11"/>
      <c r="E27" s="37"/>
      <c r="F27" s="37"/>
      <c r="G27" s="37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 ht="14.25">
      <c r="A28" s="36"/>
      <c r="B28" s="38"/>
      <c r="C28" s="38"/>
      <c r="D28" s="11"/>
      <c r="E28" s="37"/>
      <c r="F28" s="37"/>
      <c r="G28" s="37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ht="14.25">
      <c r="A29" s="36"/>
      <c r="B29" s="38"/>
      <c r="C29" s="38"/>
      <c r="D29" s="11"/>
      <c r="E29" s="37"/>
      <c r="F29" s="37"/>
      <c r="G29" s="37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ht="14.25">
      <c r="A30" s="36"/>
      <c r="B30" s="38"/>
      <c r="C30" s="38"/>
      <c r="D30" s="11"/>
      <c r="E30" s="37"/>
      <c r="F30" s="37"/>
      <c r="G30" s="37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ht="14.25">
      <c r="A31" s="36"/>
      <c r="B31" s="38"/>
      <c r="C31" s="38"/>
      <c r="D31" s="11"/>
      <c r="E31" s="37"/>
      <c r="F31" s="37"/>
      <c r="G31" s="37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ht="14.25">
      <c r="A32" s="36"/>
      <c r="B32" s="38"/>
      <c r="C32" s="38"/>
      <c r="D32" s="11"/>
      <c r="E32" s="37"/>
      <c r="F32" s="37"/>
      <c r="G32" s="37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 ht="14.25">
      <c r="A33" s="36"/>
      <c r="B33" s="38"/>
      <c r="C33" s="38"/>
      <c r="D33" s="11"/>
      <c r="E33" s="37"/>
      <c r="F33" s="37"/>
      <c r="G33" s="37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 ht="14.25">
      <c r="A34" s="36"/>
      <c r="B34" s="38"/>
      <c r="C34" s="38"/>
      <c r="D34" s="11"/>
      <c r="E34" s="37"/>
      <c r="F34" s="37"/>
      <c r="G34" s="37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 ht="14.25">
      <c r="A35" s="36"/>
      <c r="B35" s="38"/>
      <c r="C35" s="38"/>
      <c r="D35" s="11"/>
      <c r="E35" s="37"/>
      <c r="F35" s="37"/>
      <c r="G35" s="37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 ht="14.25">
      <c r="A36" s="36"/>
      <c r="B36" s="38"/>
      <c r="C36" s="38"/>
      <c r="D36" s="11"/>
      <c r="E36" s="37"/>
      <c r="F36" s="37"/>
      <c r="G36" s="37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ht="14.25">
      <c r="A37" s="36"/>
      <c r="B37" s="38"/>
      <c r="C37" s="38"/>
      <c r="D37" s="11"/>
      <c r="E37" s="37"/>
      <c r="F37" s="37"/>
      <c r="G37" s="37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ht="14.25">
      <c r="A38" s="36"/>
      <c r="B38" s="38"/>
      <c r="C38" s="38"/>
      <c r="D38" s="11"/>
      <c r="E38" s="37"/>
      <c r="F38" s="37"/>
      <c r="G38" s="37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ht="14.25">
      <c r="A39" s="36"/>
      <c r="B39" s="38"/>
      <c r="C39" s="38"/>
      <c r="D39" s="11"/>
      <c r="E39" s="37"/>
      <c r="F39" s="37"/>
      <c r="G39" s="37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 ht="14.25">
      <c r="A40" s="36"/>
      <c r="B40" s="38"/>
      <c r="C40" s="38"/>
      <c r="D40" s="11"/>
      <c r="E40" s="37"/>
      <c r="F40" s="37"/>
      <c r="G40" s="37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 ht="14.25">
      <c r="A41" s="36"/>
      <c r="B41" s="38"/>
      <c r="C41" s="38"/>
      <c r="D41" s="11"/>
      <c r="E41" s="37"/>
      <c r="F41" s="37"/>
      <c r="G41" s="37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ht="14.25">
      <c r="A42" s="36"/>
      <c r="B42" s="38"/>
      <c r="C42" s="38"/>
      <c r="D42" s="11"/>
      <c r="E42" s="37"/>
      <c r="F42" s="37"/>
      <c r="G42" s="37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ht="14.25">
      <c r="A43" s="36"/>
      <c r="B43" s="38"/>
      <c r="C43" s="38"/>
      <c r="D43" s="11"/>
      <c r="E43" s="37"/>
      <c r="F43" s="37"/>
      <c r="G43" s="37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ht="14.25">
      <c r="A44" s="36"/>
      <c r="B44" s="38"/>
      <c r="C44" s="38"/>
      <c r="D44" s="11"/>
      <c r="E44" s="37"/>
      <c r="F44" s="37"/>
      <c r="G44" s="37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ht="14.25">
      <c r="A45" s="36"/>
      <c r="B45" s="38"/>
      <c r="C45" s="38"/>
      <c r="D45" s="11"/>
      <c r="E45" s="37"/>
      <c r="F45" s="37"/>
      <c r="G45" s="37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ht="14.25">
      <c r="A46" s="36"/>
      <c r="B46" s="38"/>
      <c r="C46" s="38"/>
      <c r="D46" s="11"/>
      <c r="E46" s="37"/>
      <c r="F46" s="37"/>
      <c r="G46" s="37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ht="14.25">
      <c r="A47" s="36"/>
      <c r="B47" s="38"/>
      <c r="C47" s="38"/>
      <c r="D47" s="11"/>
      <c r="E47" s="37"/>
      <c r="F47" s="37"/>
      <c r="G47" s="37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ht="14.25">
      <c r="A48" s="36"/>
      <c r="B48" s="38"/>
      <c r="C48" s="38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ht="14.25">
      <c r="A49" s="36"/>
      <c r="B49" s="38"/>
      <c r="C49" s="38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ht="14.25">
      <c r="A50" s="36"/>
      <c r="B50" s="38"/>
      <c r="C50" s="38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 spans="1:50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 spans="1:5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5"/>
  <dimension ref="A1:AX500"/>
  <sheetViews>
    <sheetView workbookViewId="0"/>
  </sheetViews>
  <sheetFormatPr defaultColWidth="11.42578125" defaultRowHeight="12.75"/>
  <cols>
    <col min="1" max="1" width="17.28515625" customWidth="1"/>
  </cols>
  <sheetData>
    <row r="1" spans="1:50" ht="15">
      <c r="A1" s="12" t="s">
        <v>112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ht="14.25">
      <c r="A2" s="7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ht="14.25">
      <c r="A3" s="7" t="s">
        <v>114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ht="15">
      <c r="A5" s="15"/>
      <c r="B5" s="75">
        <v>2026</v>
      </c>
      <c r="C5" s="75">
        <v>2027</v>
      </c>
      <c r="D5" s="75">
        <v>2028</v>
      </c>
      <c r="E5" s="75">
        <v>2029</v>
      </c>
      <c r="F5" s="75">
        <v>2030</v>
      </c>
      <c r="G5" s="75">
        <v>2031</v>
      </c>
      <c r="H5" s="75">
        <v>2032</v>
      </c>
      <c r="I5" s="75">
        <v>2033</v>
      </c>
      <c r="J5" s="75">
        <v>2034</v>
      </c>
      <c r="K5" s="75">
        <v>2035</v>
      </c>
      <c r="L5" s="75" t="s">
        <v>115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ht="15">
      <c r="A6" s="12" t="s">
        <v>67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ht="15">
      <c r="A7" s="7" t="s">
        <v>116</v>
      </c>
      <c r="B7" s="71">
        <v>245.940226604256</v>
      </c>
      <c r="C7" s="71">
        <v>237.96046525759701</v>
      </c>
      <c r="D7" s="71">
        <v>246.930401949573</v>
      </c>
      <c r="E7" s="71">
        <v>255.12618501575599</v>
      </c>
      <c r="F7" s="71">
        <v>263.81370161604502</v>
      </c>
      <c r="G7" s="71">
        <v>274.11669546328199</v>
      </c>
      <c r="H7" s="71">
        <v>285.02201621973802</v>
      </c>
      <c r="I7" s="71">
        <v>296.09916369276698</v>
      </c>
      <c r="J7" s="71">
        <v>307.446857949677</v>
      </c>
      <c r="K7" s="71">
        <v>318.63459879781902</v>
      </c>
      <c r="L7" s="72">
        <v>2731.09031256651</v>
      </c>
      <c r="M7" s="10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ht="14.45" customHeight="1">
      <c r="A8" s="7" t="s">
        <v>117</v>
      </c>
      <c r="B8" s="71">
        <v>205.03722660425601</v>
      </c>
      <c r="C8" s="71">
        <v>186.22546525759699</v>
      </c>
      <c r="D8" s="71">
        <v>203.09540194957299</v>
      </c>
      <c r="E8" s="71">
        <v>219.98818501575599</v>
      </c>
      <c r="F8" s="71">
        <v>231.94270161604501</v>
      </c>
      <c r="G8" s="71">
        <v>241.625695463282</v>
      </c>
      <c r="H8" s="71">
        <v>250.62201621973799</v>
      </c>
      <c r="I8" s="71">
        <v>259.59716369276703</v>
      </c>
      <c r="J8" s="71">
        <v>268.78185794967698</v>
      </c>
      <c r="K8" s="71">
        <v>277.647598797819</v>
      </c>
      <c r="L8" s="72">
        <v>2344.5633125665099</v>
      </c>
      <c r="M8" s="10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14.25">
      <c r="A9" s="77" t="s">
        <v>118</v>
      </c>
      <c r="B9" s="73">
        <v>-40.902999999999999</v>
      </c>
      <c r="C9" s="73">
        <v>-51.734999999999999</v>
      </c>
      <c r="D9" s="73">
        <v>-43.835000000000001</v>
      </c>
      <c r="E9" s="73">
        <v>-35.137999999999998</v>
      </c>
      <c r="F9" s="73">
        <v>-31.870999999999999</v>
      </c>
      <c r="G9" s="73">
        <v>-32.491</v>
      </c>
      <c r="H9" s="73">
        <v>-34.4</v>
      </c>
      <c r="I9" s="73">
        <v>-36.502000000000002</v>
      </c>
      <c r="J9" s="73">
        <v>-38.664999999999999</v>
      </c>
      <c r="K9" s="73">
        <v>-40.987000000000002</v>
      </c>
      <c r="L9" s="74">
        <v>-386.52699999999999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ht="15">
      <c r="A10" s="12" t="s">
        <v>73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2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15">
      <c r="A11" s="7" t="s">
        <v>116</v>
      </c>
      <c r="B11" s="71">
        <v>253.481102287346</v>
      </c>
      <c r="C11" s="71">
        <v>244.493911021087</v>
      </c>
      <c r="D11" s="71">
        <v>253.711820343759</v>
      </c>
      <c r="E11" s="71">
        <v>262.13394614909998</v>
      </c>
      <c r="F11" s="71">
        <v>271.06286847594703</v>
      </c>
      <c r="G11" s="71">
        <v>281.64975671082198</v>
      </c>
      <c r="H11" s="71">
        <v>292.85712482682101</v>
      </c>
      <c r="I11" s="71">
        <v>304.23979657902697</v>
      </c>
      <c r="J11" s="71">
        <v>315.90189813350202</v>
      </c>
      <c r="K11" s="71">
        <v>327.39825324532598</v>
      </c>
      <c r="L11" s="72">
        <v>2806.9304777727398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ht="15">
      <c r="A12" s="7" t="s">
        <v>117</v>
      </c>
      <c r="B12" s="71">
        <v>211.19610228734601</v>
      </c>
      <c r="C12" s="71">
        <v>191.13391102108699</v>
      </c>
      <c r="D12" s="71">
        <v>208.60682034375901</v>
      </c>
      <c r="E12" s="71">
        <v>226.06394614909999</v>
      </c>
      <c r="F12" s="71">
        <v>237.967868475947</v>
      </c>
      <c r="G12" s="71">
        <v>247.42575671082199</v>
      </c>
      <c r="H12" s="71">
        <v>256.49512482682098</v>
      </c>
      <c r="I12" s="71">
        <v>265.64379657902703</v>
      </c>
      <c r="J12" s="71">
        <v>275.00789813350201</v>
      </c>
      <c r="K12" s="71">
        <v>284.03825324532602</v>
      </c>
      <c r="L12" s="72">
        <v>2403.5794777727401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ht="14.25">
      <c r="A13" s="77" t="s">
        <v>118</v>
      </c>
      <c r="B13" s="73">
        <v>-42.284999999999997</v>
      </c>
      <c r="C13" s="73">
        <v>-53.36</v>
      </c>
      <c r="D13" s="73">
        <v>-45.104999999999997</v>
      </c>
      <c r="E13" s="73">
        <v>-36.07</v>
      </c>
      <c r="F13" s="73">
        <v>-33.094999999999999</v>
      </c>
      <c r="G13" s="73">
        <v>-34.223999999999997</v>
      </c>
      <c r="H13" s="73">
        <v>-36.362000000000002</v>
      </c>
      <c r="I13" s="73">
        <v>-38.595999999999997</v>
      </c>
      <c r="J13" s="73">
        <v>-40.893999999999998</v>
      </c>
      <c r="K13" s="73">
        <v>-43.36</v>
      </c>
      <c r="L13" s="74">
        <v>-403.351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ht="15">
      <c r="A14" s="11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8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ht="15">
      <c r="A15" s="11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8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ht="15">
      <c r="A16" s="11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8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ht="15">
      <c r="A17" s="11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8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ht="14.25">
      <c r="A23" s="11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 spans="1:50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 spans="1:5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U502"/>
  <sheetViews>
    <sheetView zoomScaleNormal="100" workbookViewId="0"/>
  </sheetViews>
  <sheetFormatPr defaultColWidth="11.42578125" defaultRowHeight="12.75"/>
  <cols>
    <col min="1" max="1" width="29.28515625" customWidth="1"/>
    <col min="2" max="2" width="10.5703125" customWidth="1"/>
    <col min="3" max="3" width="12.28515625" customWidth="1"/>
    <col min="4" max="11" width="11.7109375" customWidth="1"/>
    <col min="30" max="30" width="46.7109375" customWidth="1"/>
    <col min="32" max="32" width="33.7109375" customWidth="1"/>
    <col min="38" max="41" width="12" customWidth="1"/>
    <col min="42" max="42" width="31" customWidth="1"/>
  </cols>
  <sheetData>
    <row r="1" spans="1:281" ht="15">
      <c r="A1" s="9" t="s">
        <v>119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BU1" s="1"/>
      <c r="BV1" s="1"/>
      <c r="CC1" s="2"/>
      <c r="CF1" s="2"/>
      <c r="CU1" s="2"/>
      <c r="CX1" s="2"/>
      <c r="DM1" s="2"/>
      <c r="DP1" s="2"/>
      <c r="EE1" s="2"/>
      <c r="EH1" s="2"/>
      <c r="EW1" s="2"/>
      <c r="EZ1" s="2"/>
      <c r="FO1" s="2"/>
      <c r="FR1" s="2"/>
      <c r="GG1" s="2"/>
      <c r="GJ1" s="2"/>
      <c r="GY1" s="2"/>
      <c r="HB1" s="2"/>
      <c r="HQ1" s="2"/>
      <c r="HT1" s="2"/>
      <c r="II1" s="2"/>
      <c r="IL1" s="2"/>
      <c r="IU1" s="1"/>
      <c r="JG1" s="2"/>
      <c r="JJ1" s="2"/>
    </row>
    <row r="2" spans="1:281" ht="14.25">
      <c r="A2" s="7" t="s">
        <v>120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281" ht="15">
      <c r="A3" s="7" t="s">
        <v>121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281" ht="14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83"/>
      <c r="AQ4" s="11"/>
      <c r="AR4" s="11"/>
      <c r="AS4" s="11"/>
      <c r="AT4" s="11"/>
      <c r="AU4" s="11"/>
      <c r="AV4" s="11"/>
      <c r="AW4" s="11"/>
      <c r="AX4" s="11"/>
    </row>
    <row r="5" spans="1:281" ht="15">
      <c r="A5" s="81"/>
      <c r="B5" s="107" t="s">
        <v>122</v>
      </c>
      <c r="C5" s="107"/>
      <c r="D5" s="107"/>
      <c r="E5" s="107"/>
      <c r="F5" s="107"/>
      <c r="G5" s="107"/>
      <c r="H5" s="107"/>
      <c r="I5" s="107"/>
      <c r="J5" s="107"/>
      <c r="K5" s="107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281" ht="14.25" customHeight="1">
      <c r="B6" s="105">
        <v>1</v>
      </c>
      <c r="C6" s="105">
        <v>2</v>
      </c>
      <c r="D6" s="105">
        <v>3</v>
      </c>
      <c r="E6" s="105">
        <v>4</v>
      </c>
      <c r="F6" s="105">
        <v>5</v>
      </c>
      <c r="G6" s="105">
        <v>6</v>
      </c>
      <c r="H6" s="105">
        <v>7</v>
      </c>
      <c r="I6" s="105">
        <v>8</v>
      </c>
      <c r="J6" s="105">
        <v>9</v>
      </c>
      <c r="K6" s="105">
        <v>10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BV6" s="3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5"/>
      <c r="IV6" s="5"/>
      <c r="IW6" s="5"/>
      <c r="IX6" s="5"/>
      <c r="IY6" s="5"/>
      <c r="IZ6" s="5"/>
      <c r="JA6" s="5"/>
      <c r="JB6" s="5"/>
      <c r="JC6" s="5"/>
      <c r="JD6" s="5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</row>
    <row r="7" spans="1:281" ht="15">
      <c r="A7" s="98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281" ht="15">
      <c r="A8" s="98" t="s">
        <v>123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281" ht="15">
      <c r="A9" s="95" t="s">
        <v>67</v>
      </c>
      <c r="B9" s="80">
        <v>-2.4601579070195698</v>
      </c>
      <c r="C9" s="80">
        <v>-1.51838558796014</v>
      </c>
      <c r="D9" s="80">
        <v>-1.4654258075375199</v>
      </c>
      <c r="E9" s="80">
        <v>-1.30123172052352</v>
      </c>
      <c r="F9" s="80">
        <v>-1.33313881434702</v>
      </c>
      <c r="G9" s="80">
        <v>-1.31397606449481</v>
      </c>
      <c r="H9" s="80">
        <v>-1.25207140506829</v>
      </c>
      <c r="I9" s="80">
        <v>-1.2068723425402399</v>
      </c>
      <c r="J9" s="80">
        <v>-1.1069433424827899</v>
      </c>
      <c r="K9" s="80">
        <v>-0.77856646663039797</v>
      </c>
      <c r="L9" s="9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281" ht="14.25">
      <c r="A10" s="39" t="s">
        <v>73</v>
      </c>
      <c r="B10" s="80">
        <v>-2.56284029994853</v>
      </c>
      <c r="C10" s="80">
        <v>-1.5817601644927</v>
      </c>
      <c r="D10" s="80">
        <v>-1.5265899418186799</v>
      </c>
      <c r="E10" s="80">
        <v>-1.35554270049646</v>
      </c>
      <c r="F10" s="80">
        <v>-1.3887815367808201</v>
      </c>
      <c r="G10" s="80">
        <v>-1.3688189695655499</v>
      </c>
      <c r="H10" s="80">
        <v>-1.30433052535626</v>
      </c>
      <c r="I10" s="80">
        <v>-1.2572449384367099</v>
      </c>
      <c r="J10" s="80">
        <v>-1.1531450886871999</v>
      </c>
      <c r="K10" s="80">
        <v>-0.81106237578311802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281" ht="14.25">
      <c r="A11" s="11"/>
      <c r="B11" s="84"/>
      <c r="C11" s="80"/>
      <c r="D11" s="80"/>
      <c r="E11" s="80"/>
      <c r="F11" s="80"/>
      <c r="G11" s="80"/>
      <c r="H11" s="80"/>
      <c r="I11" s="80"/>
      <c r="J11" s="80"/>
      <c r="K11" s="8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281" ht="14.25" customHeight="1">
      <c r="A12" s="98" t="s">
        <v>124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11"/>
      <c r="M12" s="10"/>
      <c r="N12" s="10"/>
      <c r="O12" s="10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83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83"/>
      <c r="AQ12" s="11"/>
      <c r="AR12" s="83"/>
      <c r="AS12" s="83"/>
      <c r="AT12" s="83"/>
      <c r="AU12" s="83"/>
      <c r="AV12" s="83"/>
      <c r="AW12" s="11"/>
      <c r="AX12" s="11"/>
      <c r="BE12" s="6"/>
    </row>
    <row r="13" spans="1:281" ht="14.25">
      <c r="A13" s="95" t="s">
        <v>67</v>
      </c>
      <c r="B13" s="97">
        <v>-925.04397461842802</v>
      </c>
      <c r="C13" s="97">
        <v>-918.66883228352197</v>
      </c>
      <c r="D13" s="97">
        <v>-1082.40746422144</v>
      </c>
      <c r="E13" s="97">
        <v>-1120.1132773438501</v>
      </c>
      <c r="F13" s="97">
        <v>-1345.8569586358899</v>
      </c>
      <c r="G13" s="97">
        <v>-1529.29732218357</v>
      </c>
      <c r="H13" s="97">
        <v>-1712.8336821334201</v>
      </c>
      <c r="I13" s="97">
        <v>-1978.1241130405799</v>
      </c>
      <c r="J13" s="97">
        <v>-2299.0770446030501</v>
      </c>
      <c r="K13" s="97">
        <v>-3893.9378975345999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83"/>
      <c r="AQ13" s="11"/>
      <c r="AR13" s="83"/>
      <c r="AS13" s="83"/>
      <c r="AT13" s="83"/>
      <c r="AU13" s="83"/>
      <c r="AV13" s="83"/>
      <c r="AW13" s="11"/>
      <c r="AX13" s="11"/>
      <c r="BE13" s="6"/>
    </row>
    <row r="14" spans="1:281" ht="14.25">
      <c r="A14" s="79" t="s">
        <v>73</v>
      </c>
      <c r="B14" s="99">
        <v>-963.65358118364702</v>
      </c>
      <c r="C14" s="96">
        <v>-957.01235232301701</v>
      </c>
      <c r="D14" s="96">
        <v>-1127.58512872554</v>
      </c>
      <c r="E14" s="96">
        <v>-1166.8647120143601</v>
      </c>
      <c r="F14" s="96">
        <v>-1402.0305126417099</v>
      </c>
      <c r="G14" s="96">
        <v>-1593.1273341082599</v>
      </c>
      <c r="H14" s="96">
        <v>-1784.3241586873701</v>
      </c>
      <c r="I14" s="96">
        <v>-2060.6873163446999</v>
      </c>
      <c r="J14" s="96">
        <v>-2395.0362233997798</v>
      </c>
      <c r="K14" s="96">
        <v>-4056.4635874892001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281" ht="14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83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281" ht="14.25">
      <c r="A16" s="11"/>
      <c r="B16" s="11"/>
      <c r="C16" s="11"/>
      <c r="D16" s="82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83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4" ht="14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83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</row>
    <row r="18" spans="1:54" ht="14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83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 spans="1:54" ht="14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83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B19" s="1" t="s">
        <v>125</v>
      </c>
    </row>
    <row r="20" spans="1:5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1:54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</row>
    <row r="22" spans="1:54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1:54" ht="14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83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1:5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spans="1:54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</row>
    <row r="26" spans="1:54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4" ht="14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83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4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4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4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4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4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ht="14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83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ht="14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83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ht="14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83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 ht="14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83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ht="14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83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ht="14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83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ht="14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83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ht="14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83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ht="14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83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ht="14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83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ht="14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83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ht="14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83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ht="14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83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 ht="14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83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 ht="14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83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 ht="14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83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 ht="14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83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 ht="14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83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 ht="14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83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 spans="1:50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 spans="1:5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  <row r="501" spans="1:50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</row>
    <row r="502" spans="1:50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</row>
  </sheetData>
  <mergeCells count="11">
    <mergeCell ref="I6:I7"/>
    <mergeCell ref="J6:J7"/>
    <mergeCell ref="K6:K7"/>
    <mergeCell ref="B5:K5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501"/>
  <sheetViews>
    <sheetView zoomScaleNormal="100" workbookViewId="0"/>
  </sheetViews>
  <sheetFormatPr defaultColWidth="11.42578125" defaultRowHeight="12.75"/>
  <cols>
    <col min="1" max="1" width="37.42578125" customWidth="1"/>
    <col min="2" max="2" width="11.7109375" customWidth="1"/>
    <col min="3" max="3" width="13.7109375" customWidth="1"/>
    <col min="5" max="8" width="9.140625" customWidth="1"/>
    <col min="29" max="29" width="13.28515625" customWidth="1"/>
    <col min="34" max="34" width="11.140625" customWidth="1"/>
    <col min="43" max="43" width="19.7109375" customWidth="1"/>
  </cols>
  <sheetData>
    <row r="1" spans="1:50" ht="15">
      <c r="A1" s="9" t="s">
        <v>126</v>
      </c>
      <c r="B1" s="11"/>
      <c r="C1" s="11"/>
      <c r="D1" s="11"/>
      <c r="E1" s="11"/>
      <c r="F1" s="39"/>
      <c r="G1" s="39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ht="15">
      <c r="A2" s="39" t="s">
        <v>127</v>
      </c>
      <c r="B2" s="11"/>
      <c r="C2" s="11"/>
      <c r="D2" s="11"/>
      <c r="E2" s="11"/>
      <c r="F2" s="39"/>
      <c r="G2" s="39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ht="15">
      <c r="A3" s="7" t="s">
        <v>128</v>
      </c>
      <c r="B3" s="9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ht="15">
      <c r="A4" s="12" t="s">
        <v>129</v>
      </c>
      <c r="B4" s="9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ht="15">
      <c r="A5" s="7"/>
      <c r="B5" s="9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ht="15">
      <c r="A6" s="7"/>
      <c r="B6" s="108" t="s">
        <v>41</v>
      </c>
      <c r="C6" s="108"/>
      <c r="D6" s="108" t="s">
        <v>43</v>
      </c>
      <c r="E6" s="10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ht="15">
      <c r="A7" s="89" t="s">
        <v>130</v>
      </c>
      <c r="B7" s="88" t="s">
        <v>131</v>
      </c>
      <c r="C7" s="88" t="s">
        <v>132</v>
      </c>
      <c r="D7" s="88" t="s">
        <v>131</v>
      </c>
      <c r="E7" s="88" t="s">
        <v>132</v>
      </c>
      <c r="F7" s="87"/>
      <c r="G7" s="87"/>
      <c r="H7" s="87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86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ht="14.25">
      <c r="A8" s="102" t="s">
        <v>133</v>
      </c>
      <c r="B8" s="40">
        <v>22.07</v>
      </c>
      <c r="C8" s="40">
        <v>6.68</v>
      </c>
      <c r="D8" s="40">
        <v>22.71</v>
      </c>
      <c r="E8" s="40">
        <v>6.74</v>
      </c>
      <c r="F8" s="80"/>
      <c r="G8" s="80"/>
      <c r="H8" s="80"/>
      <c r="I8" s="8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86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14.25">
      <c r="A9" s="102" t="s">
        <v>134</v>
      </c>
      <c r="B9" s="40">
        <v>21.04</v>
      </c>
      <c r="C9" s="40">
        <v>6.46</v>
      </c>
      <c r="D9" s="40">
        <v>21.31</v>
      </c>
      <c r="E9" s="40">
        <v>6.42</v>
      </c>
      <c r="F9" s="80"/>
      <c r="G9" s="80"/>
      <c r="H9" s="80"/>
      <c r="I9" s="8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86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ht="14.25">
      <c r="A10" s="102" t="s">
        <v>135</v>
      </c>
      <c r="B10" s="40">
        <v>18.170000000000002</v>
      </c>
      <c r="C10" s="40">
        <v>5.6</v>
      </c>
      <c r="D10" s="40">
        <v>18.73</v>
      </c>
      <c r="E10" s="40">
        <v>5.67</v>
      </c>
      <c r="F10" s="80"/>
      <c r="G10" s="80"/>
      <c r="H10" s="80"/>
      <c r="I10" s="8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86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14.25">
      <c r="A11" s="102" t="s">
        <v>136</v>
      </c>
      <c r="B11" s="40">
        <v>18.170000000000002</v>
      </c>
      <c r="C11" s="40">
        <v>5.03</v>
      </c>
      <c r="D11" s="40">
        <v>18.53</v>
      </c>
      <c r="E11" s="40">
        <v>5.05</v>
      </c>
      <c r="F11" s="80"/>
      <c r="G11" s="80"/>
      <c r="H11" s="80"/>
      <c r="I11" s="8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86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ht="14.25">
      <c r="A12" s="102" t="s">
        <v>137</v>
      </c>
      <c r="B12" s="40">
        <v>16.95</v>
      </c>
      <c r="C12" s="40">
        <v>5.24</v>
      </c>
      <c r="D12" s="40">
        <v>17.68</v>
      </c>
      <c r="E12" s="40">
        <v>5.34</v>
      </c>
      <c r="F12" s="80"/>
      <c r="G12" s="80"/>
      <c r="H12" s="80"/>
      <c r="I12" s="8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86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ht="14.25">
      <c r="A13" s="102" t="s">
        <v>138</v>
      </c>
      <c r="B13" s="40">
        <v>16.82</v>
      </c>
      <c r="C13" s="40">
        <v>5.26</v>
      </c>
      <c r="D13" s="40">
        <v>17.100000000000001</v>
      </c>
      <c r="E13" s="40">
        <v>5.26</v>
      </c>
      <c r="F13" s="80"/>
      <c r="G13" s="80"/>
      <c r="H13" s="80"/>
      <c r="I13" s="8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86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ht="14.25">
      <c r="A14" s="102" t="s">
        <v>139</v>
      </c>
      <c r="B14" s="40">
        <v>13.72</v>
      </c>
      <c r="C14" s="40">
        <v>4.42</v>
      </c>
      <c r="D14" s="40">
        <v>14.15</v>
      </c>
      <c r="E14" s="40">
        <v>4.49</v>
      </c>
      <c r="F14" s="80"/>
      <c r="G14" s="80"/>
      <c r="H14" s="80"/>
      <c r="I14" s="8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86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ht="14.25">
      <c r="A15" s="102" t="s">
        <v>140</v>
      </c>
      <c r="B15" s="40">
        <v>12.33</v>
      </c>
      <c r="C15" s="40">
        <v>5.17</v>
      </c>
      <c r="D15" s="40">
        <v>12.49</v>
      </c>
      <c r="E15" s="40">
        <v>5.17</v>
      </c>
      <c r="F15" s="80"/>
      <c r="G15" s="80"/>
      <c r="H15" s="80"/>
      <c r="I15" s="8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86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ht="14.25">
      <c r="A16" s="102" t="s">
        <v>141</v>
      </c>
      <c r="B16" s="40">
        <v>10.98</v>
      </c>
      <c r="C16" s="40">
        <v>4.1399999999999997</v>
      </c>
      <c r="D16" s="40">
        <v>12</v>
      </c>
      <c r="E16" s="40">
        <v>4.34</v>
      </c>
      <c r="F16" s="80"/>
      <c r="G16" s="80"/>
      <c r="H16" s="80"/>
      <c r="I16" s="8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86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ht="14.25">
      <c r="A17" s="102" t="s">
        <v>142</v>
      </c>
      <c r="B17" s="40">
        <v>8.26</v>
      </c>
      <c r="C17" s="40">
        <v>3.4</v>
      </c>
      <c r="D17" s="40">
        <v>10.35</v>
      </c>
      <c r="E17" s="40">
        <v>3.86</v>
      </c>
      <c r="F17" s="80"/>
      <c r="G17" s="80"/>
      <c r="H17" s="80"/>
      <c r="I17" s="8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86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ht="14.25">
      <c r="A18" s="102" t="s">
        <v>143</v>
      </c>
      <c r="B18" s="40">
        <v>7.92</v>
      </c>
      <c r="C18" s="40">
        <v>2.64</v>
      </c>
      <c r="D18" s="40">
        <v>8.4499999999999993</v>
      </c>
      <c r="E18" s="40">
        <v>2.76</v>
      </c>
      <c r="F18" s="80"/>
      <c r="G18" s="80"/>
      <c r="H18" s="80"/>
      <c r="I18" s="8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86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ht="14.25">
      <c r="A19" s="102" t="s">
        <v>144</v>
      </c>
      <c r="B19" s="40">
        <v>7.96</v>
      </c>
      <c r="C19" s="40">
        <v>3.28</v>
      </c>
      <c r="D19" s="40">
        <v>8.43</v>
      </c>
      <c r="E19" s="40">
        <v>3.39</v>
      </c>
      <c r="F19" s="80"/>
      <c r="G19" s="80"/>
      <c r="H19" s="80"/>
      <c r="I19" s="8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86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ht="14.25">
      <c r="A20" s="102" t="s">
        <v>145</v>
      </c>
      <c r="B20" s="40">
        <v>7.77</v>
      </c>
      <c r="C20" s="40">
        <v>2.77</v>
      </c>
      <c r="D20" s="40">
        <v>8.16</v>
      </c>
      <c r="E20" s="40">
        <v>2.84</v>
      </c>
      <c r="F20" s="80"/>
      <c r="G20" s="80"/>
      <c r="H20" s="80"/>
      <c r="I20" s="8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86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ht="14.25">
      <c r="A21" s="102" t="s">
        <v>146</v>
      </c>
      <c r="B21" s="40">
        <v>7.66</v>
      </c>
      <c r="C21" s="40">
        <v>2.76</v>
      </c>
      <c r="D21" s="40">
        <v>8.06</v>
      </c>
      <c r="E21" s="40">
        <v>2.86</v>
      </c>
      <c r="F21" s="80"/>
      <c r="G21" s="80"/>
      <c r="H21" s="80"/>
      <c r="I21" s="8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86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ht="14.25">
      <c r="A22" s="102" t="s">
        <v>147</v>
      </c>
      <c r="B22" s="40">
        <v>4.53</v>
      </c>
      <c r="C22" s="40">
        <v>1.57</v>
      </c>
      <c r="D22" s="40">
        <v>4.99</v>
      </c>
      <c r="E22" s="40">
        <v>1.72</v>
      </c>
      <c r="F22" s="80"/>
      <c r="G22" s="80"/>
      <c r="H22" s="80"/>
      <c r="I22" s="8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86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ht="14.25">
      <c r="A23" s="102" t="s">
        <v>148</v>
      </c>
      <c r="B23" s="40">
        <v>4</v>
      </c>
      <c r="C23" s="40">
        <v>3.35</v>
      </c>
      <c r="D23" s="40">
        <v>4.05</v>
      </c>
      <c r="E23" s="40">
        <v>3.47</v>
      </c>
      <c r="F23" s="80"/>
      <c r="G23" s="80"/>
      <c r="H23" s="80"/>
      <c r="I23" s="8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86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ht="14.25">
      <c r="A24" s="102" t="s">
        <v>149</v>
      </c>
      <c r="B24" s="40">
        <v>3.26</v>
      </c>
      <c r="C24" s="40">
        <v>1.7</v>
      </c>
      <c r="D24" s="40">
        <v>3.36</v>
      </c>
      <c r="E24" s="40">
        <v>1.75</v>
      </c>
      <c r="F24" s="80"/>
      <c r="G24" s="80"/>
      <c r="H24" s="80"/>
      <c r="I24" s="8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86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ht="14.25">
      <c r="A25" s="102" t="s">
        <v>150</v>
      </c>
      <c r="B25" s="40">
        <v>2.27</v>
      </c>
      <c r="C25" s="40">
        <v>1.44</v>
      </c>
      <c r="D25" s="40">
        <v>2.83</v>
      </c>
      <c r="E25" s="40">
        <v>1.73</v>
      </c>
      <c r="F25" s="80"/>
      <c r="G25" s="80"/>
      <c r="H25" s="80"/>
      <c r="I25" s="8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86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 ht="14.25">
      <c r="A26" s="102" t="s">
        <v>151</v>
      </c>
      <c r="B26" s="40">
        <v>2.16</v>
      </c>
      <c r="C26" s="40">
        <v>1.35</v>
      </c>
      <c r="D26" s="40">
        <v>2.5099999999999998</v>
      </c>
      <c r="E26" s="40">
        <v>1.46</v>
      </c>
      <c r="F26" s="80"/>
      <c r="G26" s="80"/>
      <c r="H26" s="80"/>
      <c r="I26" s="8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86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 ht="14.25">
      <c r="A27" s="102" t="s">
        <v>152</v>
      </c>
      <c r="B27" s="40">
        <v>1.75</v>
      </c>
      <c r="C27" s="40">
        <v>1.52</v>
      </c>
      <c r="D27" s="40">
        <v>2.2400000000000002</v>
      </c>
      <c r="E27" s="40">
        <v>1.67</v>
      </c>
      <c r="F27" s="80"/>
      <c r="G27" s="80"/>
      <c r="H27" s="80"/>
      <c r="I27" s="8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86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 ht="14.25">
      <c r="A28" s="102" t="s">
        <v>153</v>
      </c>
      <c r="B28" s="40">
        <v>2.09</v>
      </c>
      <c r="C28" s="40">
        <v>1.01</v>
      </c>
      <c r="D28" s="40">
        <v>2.16</v>
      </c>
      <c r="E28" s="40">
        <v>1.07</v>
      </c>
      <c r="F28" s="80"/>
      <c r="G28" s="80"/>
      <c r="H28" s="80"/>
      <c r="I28" s="8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86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ht="14.25">
      <c r="A29" s="102" t="s">
        <v>154</v>
      </c>
      <c r="B29" s="40">
        <v>1.59</v>
      </c>
      <c r="C29" s="40">
        <v>1.1499999999999999</v>
      </c>
      <c r="D29" s="40">
        <v>1.69</v>
      </c>
      <c r="E29" s="40">
        <v>1.22</v>
      </c>
      <c r="F29" s="80"/>
      <c r="G29" s="80"/>
      <c r="H29" s="80"/>
      <c r="I29" s="8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86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ht="14.25">
      <c r="A30" s="102" t="s">
        <v>155</v>
      </c>
      <c r="B30" s="40">
        <v>1.3</v>
      </c>
      <c r="C30" s="40">
        <v>1.18</v>
      </c>
      <c r="D30" s="40">
        <v>1.49</v>
      </c>
      <c r="E30" s="40">
        <v>1.27</v>
      </c>
      <c r="F30" s="80"/>
      <c r="G30" s="80"/>
      <c r="H30" s="80"/>
      <c r="I30" s="80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86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ht="14.25">
      <c r="A31" s="102" t="s">
        <v>156</v>
      </c>
      <c r="B31" s="40">
        <v>1.27</v>
      </c>
      <c r="C31" s="40">
        <v>0.52</v>
      </c>
      <c r="D31" s="40">
        <v>1.32</v>
      </c>
      <c r="E31" s="40">
        <v>0.55000000000000004</v>
      </c>
      <c r="F31" s="80"/>
      <c r="G31" s="80"/>
      <c r="H31" s="80"/>
      <c r="I31" s="80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86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ht="14.25">
      <c r="A32" s="102" t="s">
        <v>157</v>
      </c>
      <c r="B32" s="40">
        <v>1.29</v>
      </c>
      <c r="C32" s="40">
        <v>0.68</v>
      </c>
      <c r="D32" s="40">
        <v>1.3</v>
      </c>
      <c r="E32" s="40">
        <v>0.73</v>
      </c>
      <c r="F32" s="80"/>
      <c r="G32" s="80"/>
      <c r="H32" s="80"/>
      <c r="I32" s="8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86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 ht="14.25">
      <c r="A33" s="102" t="s">
        <v>158</v>
      </c>
      <c r="B33" s="40">
        <v>1.24</v>
      </c>
      <c r="C33" s="40">
        <v>0.7</v>
      </c>
      <c r="D33" s="40">
        <v>1.29</v>
      </c>
      <c r="E33" s="40">
        <v>0.76</v>
      </c>
      <c r="F33" s="80"/>
      <c r="G33" s="80"/>
      <c r="H33" s="80"/>
      <c r="I33" s="80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86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 ht="14.25">
      <c r="A34" s="102" t="s">
        <v>159</v>
      </c>
      <c r="B34" s="40">
        <v>1</v>
      </c>
      <c r="C34" s="40">
        <v>0.77</v>
      </c>
      <c r="D34" s="40">
        <v>1.1000000000000001</v>
      </c>
      <c r="E34" s="40">
        <v>0.84</v>
      </c>
      <c r="F34" s="80"/>
      <c r="G34" s="80"/>
      <c r="H34" s="80"/>
      <c r="I34" s="8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86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 ht="14.25">
      <c r="A35" s="102" t="s">
        <v>160</v>
      </c>
      <c r="B35" s="40">
        <v>1.08</v>
      </c>
      <c r="C35" s="40">
        <v>1.05</v>
      </c>
      <c r="D35" s="40">
        <v>1.0900000000000001</v>
      </c>
      <c r="E35" s="40">
        <v>1.0900000000000001</v>
      </c>
      <c r="F35" s="80"/>
      <c r="G35" s="80"/>
      <c r="H35" s="80"/>
      <c r="I35" s="80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86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 ht="14.25">
      <c r="A36" s="102" t="s">
        <v>161</v>
      </c>
      <c r="B36" s="40">
        <v>0.85</v>
      </c>
      <c r="C36" s="40">
        <v>0.6</v>
      </c>
      <c r="D36" s="40">
        <v>0.89</v>
      </c>
      <c r="E36" s="40">
        <v>0.66</v>
      </c>
      <c r="F36" s="80"/>
      <c r="G36" s="80"/>
      <c r="H36" s="80"/>
      <c r="I36" s="8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86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ht="14.25">
      <c r="A37" s="102" t="s">
        <v>162</v>
      </c>
      <c r="B37" s="40">
        <v>0.75</v>
      </c>
      <c r="C37" s="40">
        <v>0.77</v>
      </c>
      <c r="D37" s="40">
        <v>0.8</v>
      </c>
      <c r="E37" s="40">
        <v>0.84</v>
      </c>
      <c r="F37" s="80"/>
      <c r="G37" s="80"/>
      <c r="H37" s="80"/>
      <c r="I37" s="8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86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ht="14.25">
      <c r="A38" s="102" t="s">
        <v>163</v>
      </c>
      <c r="B38" s="40">
        <v>0.61</v>
      </c>
      <c r="C38" s="40">
        <v>0.15</v>
      </c>
      <c r="D38" s="40">
        <v>0.61</v>
      </c>
      <c r="E38" s="40">
        <v>0.17</v>
      </c>
      <c r="F38" s="80"/>
      <c r="G38" s="80"/>
      <c r="H38" s="80"/>
      <c r="I38" s="8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86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ht="14.25">
      <c r="A39" s="102" t="s">
        <v>164</v>
      </c>
      <c r="B39" s="40">
        <v>0.38</v>
      </c>
      <c r="C39" s="40">
        <v>0.9</v>
      </c>
      <c r="D39" s="40">
        <v>0.44</v>
      </c>
      <c r="E39" s="40">
        <v>0.95</v>
      </c>
      <c r="F39" s="80"/>
      <c r="G39" s="80"/>
      <c r="H39" s="80"/>
      <c r="I39" s="8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86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 ht="14.25">
      <c r="A40" s="102" t="s">
        <v>165</v>
      </c>
      <c r="B40" s="40">
        <v>0.39</v>
      </c>
      <c r="C40" s="40">
        <v>0.46</v>
      </c>
      <c r="D40" s="40">
        <v>0.42</v>
      </c>
      <c r="E40" s="40">
        <v>0.46</v>
      </c>
      <c r="F40" s="80"/>
      <c r="G40" s="80"/>
      <c r="H40" s="80"/>
      <c r="I40" s="8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86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 ht="14.25">
      <c r="A41" s="102" t="s">
        <v>166</v>
      </c>
      <c r="B41" s="40">
        <v>0.23</v>
      </c>
      <c r="C41" s="40">
        <v>0.64</v>
      </c>
      <c r="D41" s="40">
        <v>0.27</v>
      </c>
      <c r="E41" s="40">
        <v>0.68</v>
      </c>
      <c r="F41" s="80"/>
      <c r="G41" s="80"/>
      <c r="H41" s="80"/>
      <c r="I41" s="8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86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ht="14.25">
      <c r="A42" s="102" t="s">
        <v>167</v>
      </c>
      <c r="B42" s="40">
        <v>0.22</v>
      </c>
      <c r="C42" s="40">
        <v>0.23</v>
      </c>
      <c r="D42" s="40">
        <v>0.23</v>
      </c>
      <c r="E42" s="40">
        <v>0.26</v>
      </c>
      <c r="F42" s="80"/>
      <c r="G42" s="80"/>
      <c r="H42" s="80"/>
      <c r="I42" s="8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86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ht="14.25">
      <c r="A43" s="102" t="s">
        <v>168</v>
      </c>
      <c r="B43" s="40">
        <v>0.22</v>
      </c>
      <c r="C43" s="40">
        <v>0.15</v>
      </c>
      <c r="D43" s="40">
        <v>0.22</v>
      </c>
      <c r="E43" s="40">
        <v>0.2</v>
      </c>
      <c r="F43" s="80"/>
      <c r="G43" s="80"/>
      <c r="H43" s="80"/>
      <c r="I43" s="8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86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ht="14.25">
      <c r="A44" s="102" t="s">
        <v>169</v>
      </c>
      <c r="B44" s="40">
        <v>0.16</v>
      </c>
      <c r="C44" s="40">
        <v>2.97</v>
      </c>
      <c r="D44" s="40">
        <v>0.18</v>
      </c>
      <c r="E44" s="40">
        <v>3.14</v>
      </c>
      <c r="F44" s="80"/>
      <c r="G44" s="80"/>
      <c r="H44" s="80"/>
      <c r="I44" s="8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86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ht="14.25">
      <c r="A45" s="102" t="s">
        <v>170</v>
      </c>
      <c r="B45" s="40">
        <v>0.12</v>
      </c>
      <c r="C45" s="40">
        <v>0.57999999999999996</v>
      </c>
      <c r="D45" s="40">
        <v>0.12</v>
      </c>
      <c r="E45" s="40">
        <v>0.63</v>
      </c>
      <c r="F45" s="80"/>
      <c r="G45" s="80"/>
      <c r="H45" s="80"/>
      <c r="I45" s="8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86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ht="14.25">
      <c r="A46" s="102" t="s">
        <v>171</v>
      </c>
      <c r="B46" s="40">
        <v>7.0000000000000007E-2</v>
      </c>
      <c r="C46" s="40">
        <v>0.52</v>
      </c>
      <c r="D46" s="40">
        <v>0.08</v>
      </c>
      <c r="E46" s="40">
        <v>0.56999999999999995</v>
      </c>
      <c r="F46" s="80"/>
      <c r="G46" s="80"/>
      <c r="H46" s="80"/>
      <c r="I46" s="8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86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ht="14.25">
      <c r="A47" s="102" t="s">
        <v>172</v>
      </c>
      <c r="B47" s="40">
        <v>7.0000000000000007E-2</v>
      </c>
      <c r="C47" s="40">
        <v>0.35</v>
      </c>
      <c r="D47" s="40">
        <v>7.0000000000000007E-2</v>
      </c>
      <c r="E47" s="40">
        <v>0.37</v>
      </c>
      <c r="F47" s="80"/>
      <c r="G47" s="80"/>
      <c r="H47" s="80"/>
      <c r="I47" s="8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86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ht="14.25">
      <c r="A48" s="102" t="s">
        <v>173</v>
      </c>
      <c r="B48" s="40">
        <v>0.03</v>
      </c>
      <c r="C48" s="40">
        <v>0.42</v>
      </c>
      <c r="D48" s="40">
        <v>0.04</v>
      </c>
      <c r="E48" s="40">
        <v>0.47</v>
      </c>
      <c r="F48" s="80"/>
      <c r="G48" s="80"/>
      <c r="H48" s="80"/>
      <c r="I48" s="8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86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ht="14.25">
      <c r="A49" s="102" t="s">
        <v>174</v>
      </c>
      <c r="B49" s="40">
        <v>0.01</v>
      </c>
      <c r="C49" s="40">
        <v>0.05</v>
      </c>
      <c r="D49" s="40">
        <v>0.01</v>
      </c>
      <c r="E49" s="40">
        <v>0.1</v>
      </c>
      <c r="F49" s="80"/>
      <c r="G49" s="80"/>
      <c r="H49" s="80"/>
      <c r="I49" s="8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86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ht="14.25">
      <c r="A50" s="102" t="s">
        <v>175</v>
      </c>
      <c r="B50" s="40">
        <v>0</v>
      </c>
      <c r="C50" s="40">
        <v>0.5</v>
      </c>
      <c r="D50" s="40">
        <v>0</v>
      </c>
      <c r="E50" s="40">
        <v>0.56000000000000005</v>
      </c>
      <c r="F50" s="80"/>
      <c r="G50" s="80"/>
      <c r="H50" s="80"/>
      <c r="I50" s="8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86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 ht="14.25">
      <c r="A51" s="102" t="s">
        <v>176</v>
      </c>
      <c r="B51" s="40">
        <v>0</v>
      </c>
      <c r="C51" s="40">
        <v>0.69</v>
      </c>
      <c r="D51" s="40">
        <v>0</v>
      </c>
      <c r="E51" s="40">
        <v>0.74</v>
      </c>
      <c r="F51" s="80"/>
      <c r="G51" s="80"/>
      <c r="H51" s="80"/>
      <c r="I51" s="8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86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 ht="14.25">
      <c r="A52" s="102" t="s">
        <v>177</v>
      </c>
      <c r="B52" s="40">
        <v>0</v>
      </c>
      <c r="C52" s="40">
        <v>0.2</v>
      </c>
      <c r="D52" s="40">
        <v>0</v>
      </c>
      <c r="E52" s="40">
        <v>0.25</v>
      </c>
      <c r="F52" s="80"/>
      <c r="G52" s="80"/>
      <c r="H52" s="80"/>
      <c r="I52" s="8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86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 ht="14.25">
      <c r="A53" s="102" t="s">
        <v>178</v>
      </c>
      <c r="B53" s="40">
        <v>0</v>
      </c>
      <c r="C53" s="40">
        <v>0.51</v>
      </c>
      <c r="D53" s="40">
        <v>0</v>
      </c>
      <c r="E53" s="40">
        <v>0.54</v>
      </c>
      <c r="F53" s="80"/>
      <c r="G53" s="80"/>
      <c r="H53" s="80"/>
      <c r="I53" s="8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86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 ht="14.25">
      <c r="A54" s="102" t="s">
        <v>179</v>
      </c>
      <c r="B54" s="40">
        <v>0</v>
      </c>
      <c r="C54" s="40">
        <v>0.56000000000000005</v>
      </c>
      <c r="D54" s="40">
        <v>0</v>
      </c>
      <c r="E54" s="40">
        <v>0.59</v>
      </c>
      <c r="F54" s="80"/>
      <c r="G54" s="80"/>
      <c r="H54" s="80"/>
      <c r="I54" s="8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86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 ht="14.25">
      <c r="A55" s="102" t="s">
        <v>180</v>
      </c>
      <c r="B55" s="40">
        <v>0</v>
      </c>
      <c r="C55" s="40">
        <v>0.83</v>
      </c>
      <c r="D55" s="40">
        <v>0</v>
      </c>
      <c r="E55" s="40">
        <v>0.86</v>
      </c>
      <c r="F55" s="80"/>
      <c r="G55" s="80"/>
      <c r="H55" s="80"/>
      <c r="I55" s="8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86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 ht="14.25">
      <c r="A56" s="102" t="s">
        <v>97</v>
      </c>
      <c r="B56" s="40">
        <v>0</v>
      </c>
      <c r="C56" s="40">
        <v>0.94</v>
      </c>
      <c r="D56" s="40">
        <v>0</v>
      </c>
      <c r="E56" s="40">
        <v>0.97</v>
      </c>
      <c r="F56" s="80"/>
      <c r="G56" s="80"/>
      <c r="H56" s="80"/>
      <c r="I56" s="8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86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 ht="14.25">
      <c r="A57" s="102" t="s">
        <v>181</v>
      </c>
      <c r="B57" s="40">
        <v>0</v>
      </c>
      <c r="C57" s="40">
        <v>0.63</v>
      </c>
      <c r="D57" s="40">
        <v>0</v>
      </c>
      <c r="E57" s="40">
        <v>0.65</v>
      </c>
      <c r="F57" s="80"/>
      <c r="G57" s="80"/>
      <c r="H57" s="80"/>
      <c r="I57" s="8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86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 ht="14.25">
      <c r="A58" s="102" t="s">
        <v>182</v>
      </c>
      <c r="B58" s="40">
        <v>0</v>
      </c>
      <c r="C58" s="40">
        <v>0.57999999999999996</v>
      </c>
      <c r="D58" s="40">
        <v>0</v>
      </c>
      <c r="E58" s="40">
        <v>0.61</v>
      </c>
      <c r="F58" s="80"/>
      <c r="G58" s="80"/>
      <c r="H58" s="80"/>
      <c r="I58" s="8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86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 ht="14.25">
      <c r="A59" s="102" t="s">
        <v>183</v>
      </c>
      <c r="B59" s="40">
        <v>0</v>
      </c>
      <c r="C59" s="40">
        <v>0.59</v>
      </c>
      <c r="D59" s="40">
        <v>0</v>
      </c>
      <c r="E59" s="40">
        <v>0.62</v>
      </c>
      <c r="F59" s="80"/>
      <c r="G59" s="80"/>
      <c r="H59" s="80"/>
      <c r="I59" s="8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86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 ht="14.25">
      <c r="A60" s="102" t="s">
        <v>184</v>
      </c>
      <c r="B60" s="40">
        <v>0</v>
      </c>
      <c r="C60" s="40">
        <v>0.57999999999999996</v>
      </c>
      <c r="D60" s="40">
        <v>0</v>
      </c>
      <c r="E60" s="40">
        <v>0.61</v>
      </c>
      <c r="F60" s="80"/>
      <c r="G60" s="80"/>
      <c r="H60" s="80"/>
      <c r="I60" s="8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86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 ht="14.25">
      <c r="A61" s="102" t="s">
        <v>185</v>
      </c>
      <c r="B61" s="40">
        <v>0</v>
      </c>
      <c r="C61" s="40">
        <v>0.37</v>
      </c>
      <c r="D61" s="40">
        <v>0</v>
      </c>
      <c r="E61" s="40">
        <v>0.4</v>
      </c>
      <c r="F61" s="80"/>
      <c r="G61" s="80"/>
      <c r="H61" s="80"/>
      <c r="I61" s="8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86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 ht="14.25">
      <c r="A62" s="102" t="s">
        <v>186</v>
      </c>
      <c r="B62" s="40">
        <v>0</v>
      </c>
      <c r="C62" s="40">
        <v>0.79</v>
      </c>
      <c r="D62" s="40">
        <v>0</v>
      </c>
      <c r="E62" s="40">
        <v>0.81</v>
      </c>
      <c r="F62" s="80"/>
      <c r="G62" s="80"/>
      <c r="H62" s="80"/>
      <c r="I62" s="8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86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 ht="14.25">
      <c r="A63" s="102" t="s">
        <v>187</v>
      </c>
      <c r="B63" s="40">
        <v>0</v>
      </c>
      <c r="C63" s="40">
        <v>0.68</v>
      </c>
      <c r="D63" s="40">
        <v>0</v>
      </c>
      <c r="E63" s="40">
        <v>0.7</v>
      </c>
      <c r="F63" s="80"/>
      <c r="G63" s="80"/>
      <c r="H63" s="80"/>
      <c r="I63" s="8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86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 ht="14.25">
      <c r="A64" s="102" t="s">
        <v>188</v>
      </c>
      <c r="B64" s="40">
        <v>0</v>
      </c>
      <c r="C64" s="40">
        <v>0.53</v>
      </c>
      <c r="D64" s="40">
        <v>0</v>
      </c>
      <c r="E64" s="40">
        <v>0.55000000000000004</v>
      </c>
      <c r="F64" s="80"/>
      <c r="G64" s="80"/>
      <c r="H64" s="80"/>
      <c r="I64" s="8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86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 ht="14.25">
      <c r="A65" s="102" t="s">
        <v>189</v>
      </c>
      <c r="B65" s="40">
        <v>0</v>
      </c>
      <c r="C65" s="40">
        <v>0.5</v>
      </c>
      <c r="D65" s="40">
        <v>0</v>
      </c>
      <c r="E65" s="40">
        <v>0.51</v>
      </c>
      <c r="F65" s="80"/>
      <c r="G65" s="80"/>
      <c r="H65" s="80"/>
      <c r="I65" s="8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86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 ht="14.25">
      <c r="A66" s="102" t="s">
        <v>190</v>
      </c>
      <c r="B66" s="40">
        <v>0</v>
      </c>
      <c r="C66" s="40">
        <v>0.56999999999999995</v>
      </c>
      <c r="D66" s="40">
        <v>0</v>
      </c>
      <c r="E66" s="40">
        <v>0.59</v>
      </c>
      <c r="F66" s="80"/>
      <c r="G66" s="80"/>
      <c r="H66" s="80"/>
      <c r="I66" s="8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86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 ht="14.25">
      <c r="A67" s="102" t="s">
        <v>191</v>
      </c>
      <c r="B67" s="40">
        <v>0</v>
      </c>
      <c r="C67" s="40">
        <v>0.63</v>
      </c>
      <c r="D67" s="40">
        <v>0</v>
      </c>
      <c r="E67" s="40">
        <v>0.65</v>
      </c>
      <c r="F67" s="80"/>
      <c r="G67" s="80"/>
      <c r="H67" s="80"/>
      <c r="I67" s="8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86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 ht="14.25">
      <c r="A68" s="102" t="s">
        <v>192</v>
      </c>
      <c r="B68" s="40">
        <v>0</v>
      </c>
      <c r="C68" s="40">
        <v>0.63</v>
      </c>
      <c r="D68" s="40">
        <v>0</v>
      </c>
      <c r="E68" s="40">
        <v>0.65</v>
      </c>
      <c r="F68" s="80"/>
      <c r="G68" s="80"/>
      <c r="H68" s="80"/>
      <c r="I68" s="80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86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 ht="14.25">
      <c r="A69" s="102" t="s">
        <v>193</v>
      </c>
      <c r="B69" s="40">
        <v>0</v>
      </c>
      <c r="C69" s="40">
        <v>0.67</v>
      </c>
      <c r="D69" s="40">
        <v>0</v>
      </c>
      <c r="E69" s="40">
        <v>0.69</v>
      </c>
      <c r="F69" s="80"/>
      <c r="G69" s="80"/>
      <c r="H69" s="80"/>
      <c r="I69" s="80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86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 ht="14.25">
      <c r="A70" s="102" t="s">
        <v>194</v>
      </c>
      <c r="B70" s="40">
        <v>0</v>
      </c>
      <c r="C70" s="40">
        <v>0.56000000000000005</v>
      </c>
      <c r="D70" s="40">
        <v>0</v>
      </c>
      <c r="E70" s="40">
        <v>0.57999999999999996</v>
      </c>
      <c r="F70" s="80"/>
      <c r="G70" s="80"/>
      <c r="H70" s="80"/>
      <c r="I70" s="8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86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 ht="14.25">
      <c r="A71" s="102" t="s">
        <v>195</v>
      </c>
      <c r="B71" s="40">
        <v>0</v>
      </c>
      <c r="C71" s="40">
        <v>0.66</v>
      </c>
      <c r="D71" s="40">
        <v>0</v>
      </c>
      <c r="E71" s="40">
        <v>0.68</v>
      </c>
      <c r="F71" s="80"/>
      <c r="G71" s="80"/>
      <c r="H71" s="80"/>
      <c r="I71" s="80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86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 ht="14.25">
      <c r="A72" s="103" t="s">
        <v>196</v>
      </c>
      <c r="B72" s="34">
        <v>0</v>
      </c>
      <c r="C72" s="34">
        <v>0.52</v>
      </c>
      <c r="D72" s="34">
        <v>0</v>
      </c>
      <c r="E72" s="34">
        <v>0.54</v>
      </c>
      <c r="F72" s="80"/>
      <c r="G72" s="80"/>
      <c r="H72" s="80"/>
      <c r="I72" s="80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 ht="14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85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 spans="1:50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 spans="1:5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  <row r="501" spans="1:50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</row>
  </sheetData>
  <mergeCells count="2">
    <mergeCell ref="D6:E6"/>
    <mergeCell ref="B6:C6"/>
  </mergeCell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0C640B5A97941AD0E01237FDE13AD" ma:contentTypeVersion="15" ma:contentTypeDescription="Create a new document." ma:contentTypeScope="" ma:versionID="bb0a8e7d96267ed467b35fd82bd3d054">
  <xsd:schema xmlns:xsd="http://www.w3.org/2001/XMLSchema" xmlns:xs="http://www.w3.org/2001/XMLSchema" xmlns:p="http://schemas.microsoft.com/office/2006/metadata/properties" xmlns:ns2="53eb200e-4eea-4efa-b94a-d26410433f56" xmlns:ns3="6f920677-3304-433e-be05-2e1ad2081a3e" targetNamespace="http://schemas.microsoft.com/office/2006/metadata/properties" ma:root="true" ma:fieldsID="04602d34a4e5615565ce0cf0464bc025" ns2:_="" ns3:_="">
    <xsd:import namespace="53eb200e-4eea-4efa-b94a-d26410433f56"/>
    <xsd:import namespace="6f920677-3304-433e-be05-2e1ad2081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200e-4eea-4efa-b94a-d26410433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d9ce95e-1345-4484-817e-41007f7553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20677-3304-433e-be05-2e1ad2081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69c74b6-6e82-40cd-a50c-16285d3a1c19}" ma:internalName="TaxCatchAll" ma:showField="CatchAllData" ma:web="6f920677-3304-433e-be05-2e1ad2081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920677-3304-433e-be05-2e1ad2081a3e" xsi:nil="true"/>
    <lcf76f155ced4ddcb4097134ff3c332f xmlns="53eb200e-4eea-4efa-b94a-d26410433f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85A99-4D5B-4CF7-B1C8-176EC44621ED}"/>
</file>

<file path=customXml/itemProps2.xml><?xml version="1.0" encoding="utf-8"?>
<ds:datastoreItem xmlns:ds="http://schemas.openxmlformats.org/officeDocument/2006/customXml" ds:itemID="{47BA389F-2549-477F-A5C0-1820E6866969}"/>
</file>

<file path=customXml/itemProps3.xml><?xml version="1.0" encoding="utf-8"?>
<ds:datastoreItem xmlns:ds="http://schemas.openxmlformats.org/officeDocument/2006/customXml" ds:itemID="{0534E325-14A8-415F-96E7-499894BC5B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Ernie Tedeschi</dc:creator>
  <cp:keywords/>
  <dc:description/>
  <cp:lastModifiedBy/>
  <cp:revision/>
  <dcterms:created xsi:type="dcterms:W3CDTF">2025-03-03T14:24:34Z</dcterms:created>
  <dcterms:modified xsi:type="dcterms:W3CDTF">2026-01-19T20:03:24Z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0x0101008BF0C640B5A97941AD0E01237FDE13AD</vt:lpwstr>
  </property>
  <property fmtid="{D5CDD505-2E9C-101B-9397-08002B2CF9AE}" pid="3" name="MediaServiceImageTags">
    <vt:lpwstr/>
  </property>
</Properties>
</file>